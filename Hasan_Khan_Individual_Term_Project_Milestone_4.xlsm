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4.xml" ContentType="application/vnd.ms-office.activeX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activeX/activeX5.xml" ContentType="application/vnd.ms-office.activeX+xml"/>
  <Override PartName="/xl/ctrlProps/ctrlProp4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activeX/activeX6.xml" ContentType="application/vnd.ms-office.activeX+xml"/>
  <Override PartName="/xl/ctrlProps/ctrlProp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activeX/activeX7.xml" ContentType="application/vnd.ms-office.activeX+xml"/>
  <Override PartName="/xl/activeX/activeX8.xml" ContentType="application/vnd.ms-office.activeX+xml"/>
  <Override PartName="/xl/tables/table7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7.xml" ContentType="application/vnd.openxmlformats-officedocument.drawing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ctrlProps/ctrlProp6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activeX/activeX12.xml" ContentType="application/vnd.ms-office.activeX+xml"/>
  <Override PartName="/xl/activeX/activeX13.xml" ContentType="application/vnd.ms-office.activeX+xml"/>
  <Override PartName="/xl/tables/table10.xml" ContentType="application/vnd.openxmlformats-officedocument.spreadsheetml.table+xml"/>
  <Override PartName="/xl/drawings/drawing9.xml" ContentType="application/vnd.openxmlformats-officedocument.drawing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san\Documents\"/>
    </mc:Choice>
  </mc:AlternateContent>
  <xr:revisionPtr revIDLastSave="0" documentId="13_ncr:1_{ACB4B5FC-BD9C-4C60-A164-E205B774465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Welcome" sheetId="6" r:id="rId1"/>
    <sheet name="Dashboard" sheetId="1" r:id="rId2"/>
    <sheet name="Expenses" sheetId="7" r:id="rId3"/>
    <sheet name="Income" sheetId="8" r:id="rId4"/>
    <sheet name="Debt" sheetId="9" r:id="rId5"/>
    <sheet name="Net Finances" sheetId="4" r:id="rId6"/>
    <sheet name="Output Expenses&amp;Income" sheetId="2" r:id="rId7"/>
    <sheet name="Output Financial Goals" sheetId="5" r:id="rId8"/>
    <sheet name="Financial Advice" sheetId="3" r:id="rId9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" i="7" l="1"/>
  <c r="Q2" i="7"/>
  <c r="B2" i="3"/>
  <c r="B3" i="3"/>
  <c r="B4" i="3" l="1"/>
</calcChain>
</file>

<file path=xl/sharedStrings.xml><?xml version="1.0" encoding="utf-8"?>
<sst xmlns="http://schemas.openxmlformats.org/spreadsheetml/2006/main" count="96" uniqueCount="42">
  <si>
    <t>Date</t>
  </si>
  <si>
    <t>Item</t>
  </si>
  <si>
    <t>Category</t>
  </si>
  <si>
    <t>Description</t>
  </si>
  <si>
    <t>Start Date</t>
  </si>
  <si>
    <t>End Date</t>
  </si>
  <si>
    <t>Source</t>
  </si>
  <si>
    <t>Amount</t>
  </si>
  <si>
    <t>Name</t>
  </si>
  <si>
    <t>Term</t>
  </si>
  <si>
    <t xml:space="preserve">Total Expenses </t>
  </si>
  <si>
    <t>Total Income</t>
  </si>
  <si>
    <t xml:space="preserve">Date </t>
  </si>
  <si>
    <t xml:space="preserve">End Date </t>
  </si>
  <si>
    <t xml:space="preserve">Source </t>
  </si>
  <si>
    <t>Goal Name</t>
  </si>
  <si>
    <t>Goal Description</t>
  </si>
  <si>
    <t>Program</t>
  </si>
  <si>
    <t>Wants</t>
  </si>
  <si>
    <t>Needs</t>
  </si>
  <si>
    <t>Credit Card Debt</t>
  </si>
  <si>
    <t xml:space="preserve">Needs </t>
  </si>
  <si>
    <t>Savings &amp; Debt</t>
  </si>
  <si>
    <t>Student Loans</t>
  </si>
  <si>
    <t>Hasan</t>
  </si>
  <si>
    <t>MGTE</t>
  </si>
  <si>
    <t>1A</t>
  </si>
  <si>
    <t>Save money</t>
  </si>
  <si>
    <t>Save 10%</t>
  </si>
  <si>
    <t>Spend less money</t>
  </si>
  <si>
    <t>Spend 10% less</t>
  </si>
  <si>
    <t>Tuition</t>
  </si>
  <si>
    <t>university</t>
  </si>
  <si>
    <t>Luxury spendings</t>
  </si>
  <si>
    <t xml:space="preserve">Designer brands </t>
  </si>
  <si>
    <t>Salary</t>
  </si>
  <si>
    <t>Work salary</t>
  </si>
  <si>
    <t>For tuition fees</t>
  </si>
  <si>
    <t>Not enough funds</t>
  </si>
  <si>
    <t>Clothes</t>
  </si>
  <si>
    <t>New wardrobe</t>
  </si>
  <si>
    <t>Book Fees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</si>
</sst>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/>
      <bottom/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1">
    <xf numFmtId="0" fontId="0" fillId="0" borderId="0" xfId="0"/>
    <xf numFmtId="0" fontId="1" fillId="2" borderId="1" xfId="1" applyBorder="1"/>
    <xf numFmtId="164" fontId="0" fillId="0" borderId="0" xfId="0" applyNumberFormat="1"/>
    <xf numFmtId="0" fontId="1" fillId="2" borderId="0" xfId="1"/>
    <xf numFmtId="0" fontId="0" fillId="3" borderId="0" xfId="0" applyFill="1"/>
    <xf numFmtId="0" fontId="0" fillId="4" borderId="0" xfId="0" applyFill="1"/>
    <xf numFmtId="0" fontId="0" fillId="3" borderId="0" xfId="0" applyFill="1" applyAlignment="1">
      <alignment horizontal="left"/>
    </xf>
    <xf numFmtId="165" fontId="1" fillId="2" borderId="1" xfId="1" applyNumberFormat="1" applyBorder="1"/>
    <xf numFmtId="165" fontId="0" fillId="0" borderId="0" xfId="0" applyNumberFormat="1"/>
    <xf numFmtId="165" fontId="0" fillId="3" borderId="0" xfId="0" applyNumberFormat="1" applyFill="1"/>
    <xf numFmtId="165" fontId="0" fillId="4" borderId="0" xfId="0" applyNumberFormat="1" applyFill="1"/>
    <xf numFmtId="0" fontId="3" fillId="0" borderId="0" xfId="0" applyFont="1"/>
    <xf numFmtId="0" fontId="3" fillId="5" borderId="0" xfId="0" applyFont="1" applyFill="1"/>
    <xf numFmtId="0" fontId="1" fillId="2" borderId="3" xfId="1" applyBorder="1"/>
    <xf numFmtId="0" fontId="1" fillId="2" borderId="0" xfId="1" applyBorder="1"/>
    <xf numFmtId="0" fontId="1" fillId="2" borderId="4" xfId="1" applyBorder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164" fontId="0" fillId="9" borderId="0" xfId="0" applyNumberFormat="1" applyFill="1"/>
    <xf numFmtId="0" fontId="0" fillId="10" borderId="0" xfId="0" applyFill="1"/>
    <xf numFmtId="0" fontId="0" fillId="11" borderId="0" xfId="0" applyFill="1"/>
    <xf numFmtId="165" fontId="0" fillId="11" borderId="0" xfId="0" applyNumberFormat="1" applyFill="1"/>
    <xf numFmtId="165" fontId="0" fillId="0" borderId="0" xfId="0" quotePrefix="1" applyNumberFormat="1"/>
    <xf numFmtId="0" fontId="1" fillId="0" borderId="1" xfId="1" applyFill="1" applyBorder="1"/>
    <xf numFmtId="165" fontId="1" fillId="0" borderId="1" xfId="1" applyNumberFormat="1" applyFill="1" applyBorder="1"/>
    <xf numFmtId="0" fontId="1" fillId="0" borderId="2" xfId="1" applyFill="1" applyBorder="1"/>
    <xf numFmtId="164" fontId="0" fillId="0" borderId="0" xfId="0" applyNumberFormat="1" applyFill="1"/>
    <xf numFmtId="0" fontId="0" fillId="0" borderId="0" xfId="0" applyFill="1"/>
    <xf numFmtId="165" fontId="0" fillId="0" borderId="0" xfId="0" applyNumberFormat="1" applyFill="1"/>
  </cellXfs>
  <cellStyles count="2">
    <cellStyle name="Accent5" xfId="1" builtinId="45"/>
    <cellStyle name="Normal" xfId="0" builtinId="0"/>
  </cellStyles>
  <dxfs count="30">
    <dxf>
      <numFmt numFmtId="165" formatCode="&quot;$&quot;#,##0.0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numFmt numFmtId="165" formatCode="&quot;$&quot;#,##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rgb="FFB2B2B2"/>
        </left>
        <right style="thin">
          <color rgb="FFB2B2B2"/>
        </right>
        <top/>
        <bottom/>
      </border>
    </dxf>
    <dxf>
      <border outline="0">
        <top style="thin">
          <color rgb="FFB2B2B2"/>
        </top>
      </border>
    </dxf>
    <dxf>
      <border outline="0">
        <bottom style="thin">
          <color rgb="FFB2B2B2"/>
        </bottom>
      </border>
    </dxf>
    <dxf>
      <border diagonalUp="0" diagonalDown="0" outline="0">
        <left style="thin">
          <color rgb="FFB2B2B2"/>
        </left>
        <right style="thin">
          <color rgb="FFB2B2B2"/>
        </right>
        <top/>
        <bottom/>
      </border>
    </dxf>
    <dxf>
      <border diagonalUp="0" diagonalDown="0" outline="0">
        <left style="thin">
          <color rgb="FFB2B2B2"/>
        </left>
        <right style="thin">
          <color rgb="FFB2B2B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rgb="FFFF00FF"/>
        </patternFill>
      </fill>
    </dxf>
    <dxf>
      <numFmt numFmtId="165" formatCode="&quot;$&quot;#,##0.00"/>
    </dxf>
    <dxf>
      <fill>
        <patternFill patternType="solid">
          <fgColor indexed="64"/>
          <bgColor rgb="FFFF0000"/>
        </patternFill>
      </fill>
    </dxf>
    <dxf>
      <numFmt numFmtId="165" formatCode="&quot;$&quot;#,##0.00"/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numFmt numFmtId="164" formatCode="yyyy\-mm\-dd;@"/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rgb="FF0070C0"/>
        </patternFill>
      </fill>
    </dxf>
  </dxfs>
  <tableStyles count="0" defaultTableStyle="TableStyleMedium2" defaultPivotStyle="PivotStyleMedium9"/>
  <colors>
    <mruColors>
      <color rgb="FFFFFFCC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Split of Total Expenses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Expenses!$Q$1</c:f>
              <c:strCache>
                <c:ptCount val="1"/>
                <c:pt idx="0">
                  <c:v>Amount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CB0-4546-99C9-54DFC572C73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CB0-4546-99C9-54DFC572C7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Expenses!$P$2:$P$3</c:f>
              <c:strCache>
                <c:ptCount val="2"/>
                <c:pt idx="0">
                  <c:v>Needs</c:v>
                </c:pt>
                <c:pt idx="1">
                  <c:v>Wants</c:v>
                </c:pt>
              </c:strCache>
            </c:strRef>
          </c:cat>
          <c:val>
            <c:numRef>
              <c:f>Expenses!$Q$2:$Q$3</c:f>
              <c:numCache>
                <c:formatCode>General</c:formatCode>
                <c:ptCount val="2"/>
                <c:pt idx="0">
                  <c:v>7000</c:v>
                </c:pt>
                <c:pt idx="1">
                  <c:v>11000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5E-483D-B705-B0AA9AB7211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cat>
            <c:strRef>
              <c:f>'Net Finances'!$A$1:$B$1</c:f>
              <c:strCache>
                <c:ptCount val="2"/>
                <c:pt idx="0">
                  <c:v>Total Expenses </c:v>
                </c:pt>
                <c:pt idx="1">
                  <c:v>Total Income</c:v>
                </c:pt>
              </c:strCache>
            </c:strRef>
          </c:cat>
          <c:val>
            <c:numRef>
              <c:f>'Net Finances'!$A$2:$B$2</c:f>
              <c:numCache>
                <c:formatCode>General</c:formatCode>
                <c:ptCount val="2"/>
                <c:pt idx="0">
                  <c:v>20000</c:v>
                </c:pt>
                <c:pt idx="1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3F-4F31-A21D-C5C268DFAC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cat>
            <c:strRef>
              <c:f>'Net Finances'!$A$1:$B$1</c:f>
              <c:strCache>
                <c:ptCount val="2"/>
                <c:pt idx="0">
                  <c:v>Total Expenses </c:v>
                </c:pt>
                <c:pt idx="1">
                  <c:v>Total Income</c:v>
                </c:pt>
              </c:strCache>
            </c:strRef>
          </c:cat>
          <c:val>
            <c:numRef>
              <c:f>'Net Finances'!$A$2:$B$2</c:f>
              <c:numCache>
                <c:formatCode>General</c:formatCode>
                <c:ptCount val="2"/>
                <c:pt idx="0">
                  <c:v>20000</c:v>
                </c:pt>
                <c:pt idx="1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D1-44F3-8709-588F258582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'Net Finances'!$A$1</c:f>
              <c:strCache>
                <c:ptCount val="1"/>
                <c:pt idx="0">
                  <c:v>Total Expenses </c:v>
                </c:pt>
              </c:strCache>
            </c:strRef>
          </c:tx>
          <c:val>
            <c:numRef>
              <c:f>'Net Finances'!$A$2</c:f>
              <c:numCache>
                <c:formatCode>General</c:formatCode>
                <c:ptCount val="1"/>
                <c:pt idx="0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63-4014-BCCB-AC4A824A6FFA}"/>
            </c:ext>
          </c:extLst>
        </c:ser>
        <c:ser>
          <c:idx val="1"/>
          <c:order val="1"/>
          <c:tx>
            <c:strRef>
              <c:f>'Net Finances'!$B$1</c:f>
              <c:strCache>
                <c:ptCount val="1"/>
                <c:pt idx="0">
                  <c:v>Total Income</c:v>
                </c:pt>
              </c:strCache>
            </c:strRef>
          </c:tx>
          <c:val>
            <c:numRef>
              <c:f>'Net Finances'!$B$2</c:f>
              <c:numCache>
                <c:formatCode>General</c:formatCode>
                <c:ptCount val="1"/>
                <c:pt idx="0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63-4014-BCCB-AC4A824A6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cat>
            <c:strRef>
              <c:f>'Net Finances'!$A$1:$B$1</c:f>
              <c:strCache>
                <c:ptCount val="2"/>
                <c:pt idx="0">
                  <c:v>Total Expenses </c:v>
                </c:pt>
                <c:pt idx="1">
                  <c:v>Total Income</c:v>
                </c:pt>
              </c:strCache>
            </c:strRef>
          </c:cat>
          <c:val>
            <c:numRef>
              <c:f>'Net Finances'!$A$2:$B$2</c:f>
              <c:numCache>
                <c:formatCode>General</c:formatCode>
                <c:ptCount val="2"/>
                <c:pt idx="0">
                  <c:v>20000</c:v>
                </c:pt>
                <c:pt idx="1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05-4168-B367-37708012D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Total</a:t>
            </a:r>
            <a:r>
              <a:rPr lang="en-CA" baseline="0"/>
              <a:t> Expenses vs Income</a:t>
            </a:r>
            <a:endParaRPr lang="en-CA"/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'Net Finances'!$A$1:$B$1</c:f>
              <c:strCache>
                <c:ptCount val="2"/>
                <c:pt idx="0">
                  <c:v>Total Expenses </c:v>
                </c:pt>
                <c:pt idx="1">
                  <c:v>Total Income</c:v>
                </c:pt>
              </c:strCache>
            </c:strRef>
          </c:cat>
          <c:val>
            <c:numRef>
              <c:f>'Net Finances'!$A$2:$B$2</c:f>
              <c:numCache>
                <c:formatCode>General</c:formatCode>
                <c:ptCount val="2"/>
                <c:pt idx="0">
                  <c:v>20000</c:v>
                </c:pt>
                <c:pt idx="1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BB-4860-8E84-1562ED98EED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13.jpeg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4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4</xdr:row>
          <xdr:rowOff>137160</xdr:rowOff>
        </xdr:from>
        <xdr:to>
          <xdr:col>12</xdr:col>
          <xdr:colOff>45720</xdr:colOff>
          <xdr:row>23</xdr:row>
          <xdr:rowOff>99060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640080</xdr:colOff>
          <xdr:row>2</xdr:row>
          <xdr:rowOff>167640</xdr:rowOff>
        </xdr:from>
        <xdr:to>
          <xdr:col>1</xdr:col>
          <xdr:colOff>1440180</xdr:colOff>
          <xdr:row>8</xdr:row>
          <xdr:rowOff>15240</xdr:rowOff>
        </xdr:to>
        <xdr:sp macro="" textlink="">
          <xdr:nvSpPr>
            <xdr:cNvPr id="1039" name="CommandButton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8</xdr:row>
          <xdr:rowOff>129540</xdr:rowOff>
        </xdr:from>
        <xdr:to>
          <xdr:col>1</xdr:col>
          <xdr:colOff>1371600</xdr:colOff>
          <xdr:row>12</xdr:row>
          <xdr:rowOff>38100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</xdr:row>
          <xdr:rowOff>167640</xdr:rowOff>
        </xdr:from>
        <xdr:to>
          <xdr:col>7</xdr:col>
          <xdr:colOff>350520</xdr:colOff>
          <xdr:row>5</xdr:row>
          <xdr:rowOff>0</xdr:rowOff>
        </xdr:to>
        <xdr:sp macro="" textlink="">
          <xdr:nvSpPr>
            <xdr:cNvPr id="1042" name="CommandButton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160020</xdr:colOff>
          <xdr:row>5</xdr:row>
          <xdr:rowOff>83820</xdr:rowOff>
        </xdr:from>
        <xdr:to>
          <xdr:col>7</xdr:col>
          <xdr:colOff>243840</xdr:colOff>
          <xdr:row>7</xdr:row>
          <xdr:rowOff>121920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320040</xdr:colOff>
      <xdr:row>1</xdr:row>
      <xdr:rowOff>7620</xdr:rowOff>
    </xdr:from>
    <xdr:to>
      <xdr:col>4</xdr:col>
      <xdr:colOff>281940</xdr:colOff>
      <xdr:row>4</xdr:row>
      <xdr:rowOff>83820</xdr:rowOff>
    </xdr:to>
    <xdr:sp macro="[0]!DashboardInstructions" textlink="">
      <xdr:nvSpPr>
        <xdr:cNvPr id="2" name="Flowchart: Connector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817620" y="190500"/>
          <a:ext cx="723900" cy="624840"/>
        </a:xfrm>
        <a:prstGeom prst="flowChartConnector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 editAs="oneCell">
    <xdr:from>
      <xdr:col>3</xdr:col>
      <xdr:colOff>449580</xdr:colOff>
      <xdr:row>1</xdr:row>
      <xdr:rowOff>91440</xdr:rowOff>
    </xdr:from>
    <xdr:to>
      <xdr:col>4</xdr:col>
      <xdr:colOff>144780</xdr:colOff>
      <xdr:row>4</xdr:row>
      <xdr:rowOff>0</xdr:rowOff>
    </xdr:to>
    <xdr:pic macro="[0]!DashboardInstructions"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7160" y="274320"/>
          <a:ext cx="457200" cy="4572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510540</xdr:colOff>
          <xdr:row>3</xdr:row>
          <xdr:rowOff>167640</xdr:rowOff>
        </xdr:from>
        <xdr:to>
          <xdr:col>7</xdr:col>
          <xdr:colOff>556260</xdr:colOff>
          <xdr:row>5</xdr:row>
          <xdr:rowOff>167640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1</xdr:row>
          <xdr:rowOff>0</xdr:rowOff>
        </xdr:from>
        <xdr:to>
          <xdr:col>8</xdr:col>
          <xdr:colOff>68580</xdr:colOff>
          <xdr:row>3</xdr:row>
          <xdr:rowOff>68580</xdr:rowOff>
        </xdr:to>
        <xdr:sp macro="" textlink="">
          <xdr:nvSpPr>
            <xdr:cNvPr id="15364" name="CommandButton1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2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502920</xdr:colOff>
      <xdr:row>3</xdr:row>
      <xdr:rowOff>152400</xdr:rowOff>
    </xdr:from>
    <xdr:to>
      <xdr:col>18</xdr:col>
      <xdr:colOff>228600</xdr:colOff>
      <xdr:row>18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152400</xdr:colOff>
      <xdr:row>1</xdr:row>
      <xdr:rowOff>7620</xdr:rowOff>
    </xdr:from>
    <xdr:to>
      <xdr:col>10</xdr:col>
      <xdr:colOff>205740</xdr:colOff>
      <xdr:row>4</xdr:row>
      <xdr:rowOff>99060</xdr:rowOff>
    </xdr:to>
    <xdr:sp macro="[0]!ExpensesInstructions" textlink="">
      <xdr:nvSpPr>
        <xdr:cNvPr id="2" name="Flowchart: Connector 1">
          <a:extLst>
            <a:ext uri="{FF2B5EF4-FFF2-40B4-BE49-F238E27FC236}">
              <a16:creationId xmlns:a16="http://schemas.microsoft.com/office/drawing/2014/main" id="{49D9C355-8335-6E02-D9DD-30F20099A5CA}"/>
            </a:ext>
          </a:extLst>
        </xdr:cNvPr>
        <xdr:cNvSpPr/>
      </xdr:nvSpPr>
      <xdr:spPr>
        <a:xfrm>
          <a:off x="7513320" y="190500"/>
          <a:ext cx="662940" cy="640080"/>
        </a:xfrm>
        <a:prstGeom prst="flowChartConnector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 editAs="oneCell">
    <xdr:from>
      <xdr:col>9</xdr:col>
      <xdr:colOff>259080</xdr:colOff>
      <xdr:row>1</xdr:row>
      <xdr:rowOff>106680</xdr:rowOff>
    </xdr:from>
    <xdr:to>
      <xdr:col>10</xdr:col>
      <xdr:colOff>99060</xdr:colOff>
      <xdr:row>4</xdr:row>
      <xdr:rowOff>7620</xdr:rowOff>
    </xdr:to>
    <xdr:pic macro="[0]!ExpensesInstructions">
      <xdr:nvPicPr>
        <xdr:cNvPr id="5" name="Picture 4">
          <a:extLst>
            <a:ext uri="{FF2B5EF4-FFF2-40B4-BE49-F238E27FC236}">
              <a16:creationId xmlns:a16="http://schemas.microsoft.com/office/drawing/2014/main" id="{EE9E42A8-4D0E-88A3-64CE-88FA381CC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289560"/>
          <a:ext cx="449580" cy="44958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487680</xdr:colOff>
          <xdr:row>1</xdr:row>
          <xdr:rowOff>0</xdr:rowOff>
        </xdr:from>
        <xdr:to>
          <xdr:col>6</xdr:col>
          <xdr:colOff>556260</xdr:colOff>
          <xdr:row>3</xdr:row>
          <xdr:rowOff>15240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480060</xdr:colOff>
          <xdr:row>3</xdr:row>
          <xdr:rowOff>91440</xdr:rowOff>
        </xdr:from>
        <xdr:to>
          <xdr:col>6</xdr:col>
          <xdr:colOff>525780</xdr:colOff>
          <xdr:row>5</xdr:row>
          <xdr:rowOff>91440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144780</xdr:colOff>
      <xdr:row>1</xdr:row>
      <xdr:rowOff>60960</xdr:rowOff>
    </xdr:from>
    <xdr:to>
      <xdr:col>9</xdr:col>
      <xdr:colOff>198120</xdr:colOff>
      <xdr:row>4</xdr:row>
      <xdr:rowOff>129540</xdr:rowOff>
    </xdr:to>
    <xdr:sp macro="[0]!IncomeInstructions" textlink="">
      <xdr:nvSpPr>
        <xdr:cNvPr id="2" name="Flowchart: Connector 1">
          <a:extLst>
            <a:ext uri="{FF2B5EF4-FFF2-40B4-BE49-F238E27FC236}">
              <a16:creationId xmlns:a16="http://schemas.microsoft.com/office/drawing/2014/main" id="{DD164D26-4279-786D-2CBC-7925CD4D57E1}"/>
            </a:ext>
          </a:extLst>
        </xdr:cNvPr>
        <xdr:cNvSpPr/>
      </xdr:nvSpPr>
      <xdr:spPr>
        <a:xfrm>
          <a:off x="6598920" y="243840"/>
          <a:ext cx="662940" cy="617220"/>
        </a:xfrm>
        <a:prstGeom prst="flowChartConnector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 editAs="oneCell">
    <xdr:from>
      <xdr:col>8</xdr:col>
      <xdr:colOff>266700</xdr:colOff>
      <xdr:row>1</xdr:row>
      <xdr:rowOff>160020</xdr:rowOff>
    </xdr:from>
    <xdr:to>
      <xdr:col>9</xdr:col>
      <xdr:colOff>83820</xdr:colOff>
      <xdr:row>4</xdr:row>
      <xdr:rowOff>38100</xdr:rowOff>
    </xdr:to>
    <xdr:pic macro="[0]!IncomeInstructions">
      <xdr:nvPicPr>
        <xdr:cNvPr id="4" name="Picture 3">
          <a:extLst>
            <a:ext uri="{FF2B5EF4-FFF2-40B4-BE49-F238E27FC236}">
              <a16:creationId xmlns:a16="http://schemas.microsoft.com/office/drawing/2014/main" id="{8FDBAA73-156F-F857-F7AA-C9D30984E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0840" y="342900"/>
          <a:ext cx="426720" cy="42672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</xdr:colOff>
          <xdr:row>1</xdr:row>
          <xdr:rowOff>30480</xdr:rowOff>
        </xdr:from>
        <xdr:to>
          <xdr:col>7</xdr:col>
          <xdr:colOff>45720</xdr:colOff>
          <xdr:row>3</xdr:row>
          <xdr:rowOff>15240</xdr:rowOff>
        </xdr:to>
        <xdr:sp macro="" textlink="">
          <xdr:nvSpPr>
            <xdr:cNvPr id="17409" name="CommandButton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3</xdr:row>
          <xdr:rowOff>106680</xdr:rowOff>
        </xdr:from>
        <xdr:to>
          <xdr:col>7</xdr:col>
          <xdr:colOff>53340</xdr:colOff>
          <xdr:row>5</xdr:row>
          <xdr:rowOff>106680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167640</xdr:colOff>
      <xdr:row>1</xdr:row>
      <xdr:rowOff>22860</xdr:rowOff>
    </xdr:from>
    <xdr:to>
      <xdr:col>9</xdr:col>
      <xdr:colOff>182880</xdr:colOff>
      <xdr:row>4</xdr:row>
      <xdr:rowOff>45720</xdr:rowOff>
    </xdr:to>
    <xdr:sp macro="[0]!DebtInstructions" textlink="">
      <xdr:nvSpPr>
        <xdr:cNvPr id="2" name="Flowchart: Connector 1">
          <a:extLst>
            <a:ext uri="{FF2B5EF4-FFF2-40B4-BE49-F238E27FC236}">
              <a16:creationId xmlns:a16="http://schemas.microsoft.com/office/drawing/2014/main" id="{ED60C7BA-25DC-7A57-E5FB-0A1B0FD895DE}"/>
            </a:ext>
          </a:extLst>
        </xdr:cNvPr>
        <xdr:cNvSpPr/>
      </xdr:nvSpPr>
      <xdr:spPr>
        <a:xfrm>
          <a:off x="7025640" y="205740"/>
          <a:ext cx="624840" cy="571500"/>
        </a:xfrm>
        <a:prstGeom prst="flowChartConnector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 editAs="oneCell">
    <xdr:from>
      <xdr:col>8</xdr:col>
      <xdr:colOff>274320</xdr:colOff>
      <xdr:row>1</xdr:row>
      <xdr:rowOff>106680</xdr:rowOff>
    </xdr:from>
    <xdr:to>
      <xdr:col>9</xdr:col>
      <xdr:colOff>76200</xdr:colOff>
      <xdr:row>3</xdr:row>
      <xdr:rowOff>152400</xdr:rowOff>
    </xdr:to>
    <xdr:pic macro="[0]!DebtInstructions">
      <xdr:nvPicPr>
        <xdr:cNvPr id="4" name="Picture 3">
          <a:extLst>
            <a:ext uri="{FF2B5EF4-FFF2-40B4-BE49-F238E27FC236}">
              <a16:creationId xmlns:a16="http://schemas.microsoft.com/office/drawing/2014/main" id="{29C7F65C-F55D-F04D-1135-D7C013E31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2320" y="289560"/>
          <a:ext cx="411480" cy="41148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579120</xdr:colOff>
          <xdr:row>0</xdr:row>
          <xdr:rowOff>144780</xdr:rowOff>
        </xdr:from>
        <xdr:to>
          <xdr:col>6</xdr:col>
          <xdr:colOff>274320</xdr:colOff>
          <xdr:row>5</xdr:row>
          <xdr:rowOff>83820</xdr:rowOff>
        </xdr:to>
        <xdr:sp macro="" textlink="">
          <xdr:nvSpPr>
            <xdr:cNvPr id="4098" name="CompareFinances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289560</xdr:colOff>
          <xdr:row>6</xdr:row>
          <xdr:rowOff>68580</xdr:rowOff>
        </xdr:from>
        <xdr:to>
          <xdr:col>5</xdr:col>
          <xdr:colOff>464820</xdr:colOff>
          <xdr:row>9</xdr:row>
          <xdr:rowOff>83820</xdr:rowOff>
        </xdr:to>
        <xdr:sp macro="" textlink="">
          <xdr:nvSpPr>
            <xdr:cNvPr id="4100" name="CommandButton1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5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408940</xdr:colOff>
      <xdr:row>0</xdr:row>
      <xdr:rowOff>88900</xdr:rowOff>
    </xdr:from>
    <xdr:to>
      <xdr:col>12</xdr:col>
      <xdr:colOff>561340</xdr:colOff>
      <xdr:row>14</xdr:row>
      <xdr:rowOff>68580</xdr:rowOff>
    </xdr:to>
    <xdr:graphicFrame macro="">
      <xdr:nvGraphicFramePr>
        <xdr:cNvPr id="5" name="Chart 4" hidden="1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408940</xdr:colOff>
      <xdr:row>0</xdr:row>
      <xdr:rowOff>88900</xdr:rowOff>
    </xdr:from>
    <xdr:to>
      <xdr:col>12</xdr:col>
      <xdr:colOff>561340</xdr:colOff>
      <xdr:row>14</xdr:row>
      <xdr:rowOff>68580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408940</xdr:colOff>
      <xdr:row>0</xdr:row>
      <xdr:rowOff>88900</xdr:rowOff>
    </xdr:from>
    <xdr:to>
      <xdr:col>12</xdr:col>
      <xdr:colOff>561340</xdr:colOff>
      <xdr:row>14</xdr:row>
      <xdr:rowOff>68580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408940</xdr:colOff>
      <xdr:row>0</xdr:row>
      <xdr:rowOff>88900</xdr:rowOff>
    </xdr:from>
    <xdr:to>
      <xdr:col>12</xdr:col>
      <xdr:colOff>561340</xdr:colOff>
      <xdr:row>14</xdr:row>
      <xdr:rowOff>68580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408940</xdr:colOff>
      <xdr:row>0</xdr:row>
      <xdr:rowOff>88900</xdr:rowOff>
    </xdr:from>
    <xdr:to>
      <xdr:col>12</xdr:col>
      <xdr:colOff>561340</xdr:colOff>
      <xdr:row>14</xdr:row>
      <xdr:rowOff>68580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182880</xdr:colOff>
      <xdr:row>1</xdr:row>
      <xdr:rowOff>22860</xdr:rowOff>
    </xdr:from>
    <xdr:to>
      <xdr:col>15</xdr:col>
      <xdr:colOff>281940</xdr:colOff>
      <xdr:row>4</xdr:row>
      <xdr:rowOff>129540</xdr:rowOff>
    </xdr:to>
    <xdr:sp macro="[0]!FinancesInstructions" textlink="">
      <xdr:nvSpPr>
        <xdr:cNvPr id="2" name="Flowchart: Connector 1">
          <a:extLst>
            <a:ext uri="{FF2B5EF4-FFF2-40B4-BE49-F238E27FC236}">
              <a16:creationId xmlns:a16="http://schemas.microsoft.com/office/drawing/2014/main" id="{5C7E1366-BAE5-217F-0E98-63CA0656E73B}"/>
            </a:ext>
          </a:extLst>
        </xdr:cNvPr>
        <xdr:cNvSpPr/>
      </xdr:nvSpPr>
      <xdr:spPr>
        <a:xfrm>
          <a:off x="9730740" y="205740"/>
          <a:ext cx="708660" cy="655320"/>
        </a:xfrm>
        <a:prstGeom prst="flowChartConnector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 editAs="oneCell">
    <xdr:from>
      <xdr:col>14</xdr:col>
      <xdr:colOff>312420</xdr:colOff>
      <xdr:row>1</xdr:row>
      <xdr:rowOff>129540</xdr:rowOff>
    </xdr:from>
    <xdr:to>
      <xdr:col>15</xdr:col>
      <xdr:colOff>144780</xdr:colOff>
      <xdr:row>4</xdr:row>
      <xdr:rowOff>22860</xdr:rowOff>
    </xdr:to>
    <xdr:pic macro="[0]!FinancesInstructions">
      <xdr:nvPicPr>
        <xdr:cNvPr id="4" name="Picture 3">
          <a:extLst>
            <a:ext uri="{FF2B5EF4-FFF2-40B4-BE49-F238E27FC236}">
              <a16:creationId xmlns:a16="http://schemas.microsoft.com/office/drawing/2014/main" id="{2800BB30-D9AF-5740-0137-F7DE800F7B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60280" y="312420"/>
          <a:ext cx="441960" cy="44196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441960</xdr:colOff>
          <xdr:row>3</xdr:row>
          <xdr:rowOff>121920</xdr:rowOff>
        </xdr:from>
        <xdr:to>
          <xdr:col>3</xdr:col>
          <xdr:colOff>525780</xdr:colOff>
          <xdr:row>5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198120</xdr:colOff>
          <xdr:row>1</xdr:row>
          <xdr:rowOff>0</xdr:rowOff>
        </xdr:from>
        <xdr:to>
          <xdr:col>15</xdr:col>
          <xdr:colOff>449580</xdr:colOff>
          <xdr:row>3</xdr:row>
          <xdr:rowOff>45720</xdr:rowOff>
        </xdr:to>
        <xdr:sp macro="" textlink="">
          <xdr:nvSpPr>
            <xdr:cNvPr id="2053" name="CommandButton1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6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182880</xdr:colOff>
          <xdr:row>3</xdr:row>
          <xdr:rowOff>114300</xdr:rowOff>
        </xdr:from>
        <xdr:to>
          <xdr:col>15</xdr:col>
          <xdr:colOff>457200</xdr:colOff>
          <xdr:row>6</xdr:row>
          <xdr:rowOff>0</xdr:rowOff>
        </xdr:to>
        <xdr:sp macro="" textlink="">
          <xdr:nvSpPr>
            <xdr:cNvPr id="2054" name="ClearOutputIncom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6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434340</xdr:colOff>
          <xdr:row>1</xdr:row>
          <xdr:rowOff>30480</xdr:rowOff>
        </xdr:from>
        <xdr:to>
          <xdr:col>3</xdr:col>
          <xdr:colOff>533400</xdr:colOff>
          <xdr:row>3</xdr:row>
          <xdr:rowOff>45720</xdr:rowOff>
        </xdr:to>
        <xdr:sp macro="" textlink="">
          <xdr:nvSpPr>
            <xdr:cNvPr id="2055" name="CommandButton2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6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297180</xdr:colOff>
      <xdr:row>7</xdr:row>
      <xdr:rowOff>91440</xdr:rowOff>
    </xdr:from>
    <xdr:to>
      <xdr:col>0</xdr:col>
      <xdr:colOff>937260</xdr:colOff>
      <xdr:row>10</xdr:row>
      <xdr:rowOff>137160</xdr:rowOff>
    </xdr:to>
    <xdr:sp macro="[0]!OutputInstructions" textlink="">
      <xdr:nvSpPr>
        <xdr:cNvPr id="2" name="Flowchart: Connector 1">
          <a:extLst>
            <a:ext uri="{FF2B5EF4-FFF2-40B4-BE49-F238E27FC236}">
              <a16:creationId xmlns:a16="http://schemas.microsoft.com/office/drawing/2014/main" id="{9B9618D8-6CCF-6104-8373-DC31C90CB567}"/>
            </a:ext>
          </a:extLst>
        </xdr:cNvPr>
        <xdr:cNvSpPr/>
      </xdr:nvSpPr>
      <xdr:spPr>
        <a:xfrm>
          <a:off x="297180" y="1371600"/>
          <a:ext cx="640080" cy="594360"/>
        </a:xfrm>
        <a:prstGeom prst="flowChartConnector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 editAs="oneCell">
    <xdr:from>
      <xdr:col>0</xdr:col>
      <xdr:colOff>396240</xdr:colOff>
      <xdr:row>7</xdr:row>
      <xdr:rowOff>167640</xdr:rowOff>
    </xdr:from>
    <xdr:to>
      <xdr:col>0</xdr:col>
      <xdr:colOff>830580</xdr:colOff>
      <xdr:row>10</xdr:row>
      <xdr:rowOff>53340</xdr:rowOff>
    </xdr:to>
    <xdr:pic macro="[0]!OutputInstructions">
      <xdr:nvPicPr>
        <xdr:cNvPr id="4" name="Picture 3">
          <a:extLst>
            <a:ext uri="{FF2B5EF4-FFF2-40B4-BE49-F238E27FC236}">
              <a16:creationId xmlns:a16="http://schemas.microsoft.com/office/drawing/2014/main" id="{B7503B22-CABE-6705-F7C5-AA0391CE6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6240" y="1447800"/>
          <a:ext cx="434340" cy="43434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0</xdr:row>
          <xdr:rowOff>144780</xdr:rowOff>
        </xdr:from>
        <xdr:to>
          <xdr:col>3</xdr:col>
          <xdr:colOff>342900</xdr:colOff>
          <xdr:row>3</xdr:row>
          <xdr:rowOff>53340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289560</xdr:colOff>
          <xdr:row>3</xdr:row>
          <xdr:rowOff>121920</xdr:rowOff>
        </xdr:from>
        <xdr:to>
          <xdr:col>3</xdr:col>
          <xdr:colOff>228600</xdr:colOff>
          <xdr:row>6</xdr:row>
          <xdr:rowOff>0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320040</xdr:colOff>
      <xdr:row>7</xdr:row>
      <xdr:rowOff>129540</xdr:rowOff>
    </xdr:from>
    <xdr:to>
      <xdr:col>0</xdr:col>
      <xdr:colOff>899160</xdr:colOff>
      <xdr:row>10</xdr:row>
      <xdr:rowOff>129540</xdr:rowOff>
    </xdr:to>
    <xdr:sp macro="[0]!OutputGoalInstructions" textlink="">
      <xdr:nvSpPr>
        <xdr:cNvPr id="2" name="Flowchart: Connector 1">
          <a:extLst>
            <a:ext uri="{FF2B5EF4-FFF2-40B4-BE49-F238E27FC236}">
              <a16:creationId xmlns:a16="http://schemas.microsoft.com/office/drawing/2014/main" id="{D6535205-C17F-5A92-364D-F518D06DAA18}"/>
            </a:ext>
          </a:extLst>
        </xdr:cNvPr>
        <xdr:cNvSpPr/>
      </xdr:nvSpPr>
      <xdr:spPr>
        <a:xfrm>
          <a:off x="320040" y="1409700"/>
          <a:ext cx="579120" cy="548640"/>
        </a:xfrm>
        <a:prstGeom prst="flowChartConnector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 editAs="oneCell">
    <xdr:from>
      <xdr:col>0</xdr:col>
      <xdr:colOff>419100</xdr:colOff>
      <xdr:row>8</xdr:row>
      <xdr:rowOff>38100</xdr:rowOff>
    </xdr:from>
    <xdr:to>
      <xdr:col>0</xdr:col>
      <xdr:colOff>800100</xdr:colOff>
      <xdr:row>10</xdr:row>
      <xdr:rowOff>53340</xdr:rowOff>
    </xdr:to>
    <xdr:pic macro="[0]!OutputGoalInstructions">
      <xdr:nvPicPr>
        <xdr:cNvPr id="4" name="Picture 3">
          <a:extLst>
            <a:ext uri="{FF2B5EF4-FFF2-40B4-BE49-F238E27FC236}">
              <a16:creationId xmlns:a16="http://schemas.microsoft.com/office/drawing/2014/main" id="{2C4B1522-B32A-F9C0-3C4F-1E4FECF05F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1501140"/>
          <a:ext cx="381000" cy="381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259080</xdr:colOff>
          <xdr:row>4</xdr:row>
          <xdr:rowOff>45720</xdr:rowOff>
        </xdr:from>
        <xdr:to>
          <xdr:col>5</xdr:col>
          <xdr:colOff>129540</xdr:colOff>
          <xdr:row>7</xdr:row>
          <xdr:rowOff>22860</xdr:rowOff>
        </xdr:to>
        <xdr:sp macro="" textlink="">
          <xdr:nvSpPr>
            <xdr:cNvPr id="3076" name="CommandButton1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8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0</xdr:row>
          <xdr:rowOff>99060</xdr:rowOff>
        </xdr:from>
        <xdr:to>
          <xdr:col>11</xdr:col>
          <xdr:colOff>518160</xdr:colOff>
          <xdr:row>3</xdr:row>
          <xdr:rowOff>53340</xdr:rowOff>
        </xdr:to>
        <xdr:sp macro="" textlink="">
          <xdr:nvSpPr>
            <xdr:cNvPr id="3077" name="CommandButton2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8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274320</xdr:colOff>
          <xdr:row>3</xdr:row>
          <xdr:rowOff>152400</xdr:rowOff>
        </xdr:from>
        <xdr:to>
          <xdr:col>11</xdr:col>
          <xdr:colOff>320040</xdr:colOff>
          <xdr:row>5</xdr:row>
          <xdr:rowOff>175260</xdr:rowOff>
        </xdr:to>
        <xdr:sp macro="" textlink="">
          <xdr:nvSpPr>
            <xdr:cNvPr id="3078" name="CommandButton3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8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236220</xdr:colOff>
          <xdr:row>0</xdr:row>
          <xdr:rowOff>129540</xdr:rowOff>
        </xdr:from>
        <xdr:to>
          <xdr:col>5</xdr:col>
          <xdr:colOff>182880</xdr:colOff>
          <xdr:row>2</xdr:row>
          <xdr:rowOff>160020</xdr:rowOff>
        </xdr:to>
        <xdr:sp macro="" textlink="">
          <xdr:nvSpPr>
            <xdr:cNvPr id="3079" name="CommandButton4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8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457200</xdr:colOff>
      <xdr:row>1</xdr:row>
      <xdr:rowOff>68580</xdr:rowOff>
    </xdr:from>
    <xdr:to>
      <xdr:col>7</xdr:col>
      <xdr:colOff>525780</xdr:colOff>
      <xdr:row>4</xdr:row>
      <xdr:rowOff>160020</xdr:rowOff>
    </xdr:to>
    <xdr:sp macro="[0]!AdviceInstructions" textlink="">
      <xdr:nvSpPr>
        <xdr:cNvPr id="2" name="Flowchart: Connector 1">
          <a:extLst>
            <a:ext uri="{FF2B5EF4-FFF2-40B4-BE49-F238E27FC236}">
              <a16:creationId xmlns:a16="http://schemas.microsoft.com/office/drawing/2014/main" id="{9A2F4B49-3687-556B-CDB1-009DFC2AABDE}"/>
            </a:ext>
          </a:extLst>
        </xdr:cNvPr>
        <xdr:cNvSpPr/>
      </xdr:nvSpPr>
      <xdr:spPr>
        <a:xfrm>
          <a:off x="5143500" y="251460"/>
          <a:ext cx="678180" cy="640080"/>
        </a:xfrm>
        <a:prstGeom prst="flowChartConnector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 editAs="oneCell">
    <xdr:from>
      <xdr:col>6</xdr:col>
      <xdr:colOff>586740</xdr:colOff>
      <xdr:row>1</xdr:row>
      <xdr:rowOff>175260</xdr:rowOff>
    </xdr:from>
    <xdr:to>
      <xdr:col>7</xdr:col>
      <xdr:colOff>411480</xdr:colOff>
      <xdr:row>4</xdr:row>
      <xdr:rowOff>60960</xdr:rowOff>
    </xdr:to>
    <xdr:pic macro="[0]!AdviceInstructions">
      <xdr:nvPicPr>
        <xdr:cNvPr id="4" name="Picture 3">
          <a:extLst>
            <a:ext uri="{FF2B5EF4-FFF2-40B4-BE49-F238E27FC236}">
              <a16:creationId xmlns:a16="http://schemas.microsoft.com/office/drawing/2014/main" id="{BF2FC6F9-A8D5-28DA-2E73-0A17AD893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73040" y="358140"/>
          <a:ext cx="434340" cy="43434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146FAC9-27E8-46F9-A030-55BEB6DEA5D3}" name="Table6" displayName="Table6" ref="I1:L1048576" totalsRowShown="0" headerRowDxfId="29" dataDxfId="28">
  <autoFilter ref="I1:L1048576" xr:uid="{2146FAC9-27E8-46F9-A030-55BEB6DEA5D3}"/>
  <sortState xmlns:xlrd2="http://schemas.microsoft.com/office/spreadsheetml/2017/richdata2" ref="I2:L1048576">
    <sortCondition descending="1" ref="J1:J1048576"/>
  </sortState>
  <tableColumns count="4">
    <tableColumn id="1" xr3:uid="{3323F1ED-F159-4A42-9541-32024FAA4789}" name="Start Date" dataDxfId="27"/>
    <tableColumn id="2" xr3:uid="{6114F865-E3A8-43AD-983C-0248764D0969}" name="End Date" dataDxfId="26"/>
    <tableColumn id="3" xr3:uid="{AD06D7E2-560D-463A-A6B3-E0C8ED3D8DB5}" name="Goal Name" dataDxfId="25"/>
    <tableColumn id="4" xr3:uid="{3602D282-8B20-4364-A01B-3AAFC04E3DB4}" name="Goal Description" dataDxfId="24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55261B-1726-48B7-99C0-7EAD1AD0963B}" name="Table1" displayName="Table1" ref="A1:C2" totalsRowShown="0" headerRowDxfId="23">
  <autoFilter ref="A1:C2" xr:uid="{2255261B-1726-48B7-99C0-7EAD1AD0963B}"/>
  <tableColumns count="3">
    <tableColumn id="1" xr3:uid="{BBCEA8D2-5401-48FF-A4D9-7329A497F7ED}" name="Name" dataDxfId="22"/>
    <tableColumn id="2" xr3:uid="{B92E043A-E701-4C55-A819-5A74507981AD}" name="Program" dataDxfId="21"/>
    <tableColumn id="3" xr3:uid="{CC2C408B-7878-495F-A3A0-07FF1B10D19D}" name="Term" dataDxfId="20"/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9EEB63D-82C1-46E0-847F-D07D64777098}" name="Table3" displayName="Table3" ref="A1:E1048574" totalsRowShown="0" headerRowDxfId="11" dataDxfId="10" headerRowCellStyle="Accent5">
  <autoFilter ref="A1:E1048574" xr:uid="{C9EEB63D-82C1-46E0-847F-D07D64777098}"/>
  <sortState xmlns:xlrd2="http://schemas.microsoft.com/office/spreadsheetml/2017/richdata2" ref="A2:E1048574">
    <sortCondition descending="1" ref="A1:A1048574"/>
  </sortState>
  <tableColumns count="5">
    <tableColumn id="1" xr3:uid="{9DB0E8BF-F18F-43C7-BABE-E68C7423D63F}" name="Date" dataDxfId="9"/>
    <tableColumn id="2" xr3:uid="{4CE61614-0B28-4F28-9AD8-9797CB7723F6}" name="Item" dataDxfId="8"/>
    <tableColumn id="3" xr3:uid="{D4009CB8-8990-4A41-B60A-16C81987B016}" name="Category" dataDxfId="7"/>
    <tableColumn id="4" xr3:uid="{A110CCD0-1ACE-4F5C-9D4A-C0430670FEE5}" name="Amount" dataDxfId="6"/>
    <tableColumn id="5" xr3:uid="{C063DA46-686D-4A15-BA45-EE90B872811F}" name="Description" dataDxfId="5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9A6956-128C-4D72-B233-8530780FDF99}" name="Table2" displayName="Table2" ref="P1:Q3" totalsRowShown="0" headerRowDxfId="1" dataDxfId="2">
  <autoFilter ref="P1:Q3" xr:uid="{A89A6956-128C-4D72-B233-8530780FDF99}"/>
  <tableColumns count="2">
    <tableColumn id="1" xr3:uid="{40574CC7-C800-4F1C-B07F-B683EF1D02B7}" name="Category" dataDxfId="4"/>
    <tableColumn id="2" xr3:uid="{F9CE0E65-2A2C-4549-A864-80594D9D277F}" name="Amount" dataDxfId="3">
      <calculatedColumnFormula>SUMIF(Expenses!C1:C997, "Wants", Expenses!D1:D997)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586A03-24F3-44EC-BC08-1FD1C7D32A59}" name="Table4" displayName="Table4" ref="A1:D1048576" totalsRowShown="0">
  <autoFilter ref="A1:D1048576" xr:uid="{BF586A03-24F3-44EC-BC08-1FD1C7D32A59}"/>
  <sortState xmlns:xlrd2="http://schemas.microsoft.com/office/spreadsheetml/2017/richdata2" ref="A2:D1048576">
    <sortCondition descending="1" ref="A1:A1048576"/>
  </sortState>
  <tableColumns count="4">
    <tableColumn id="1" xr3:uid="{A2ADA6EB-1725-4955-82F6-B768E1E84D8D}" name="Date"/>
    <tableColumn id="2" xr3:uid="{3AA6888E-3689-46A7-AA7C-15A90BFC6AC0}" name="Source"/>
    <tableColumn id="3" xr3:uid="{181E132D-5A45-4B67-AD7A-2F2A93AE5A8F}" name="Amount" dataDxfId="19"/>
    <tableColumn id="4" xr3:uid="{9D760787-1B48-4049-A4E6-845FA238BDE9}" name="Description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7655B8E-9544-47D9-893D-E6495243E668}" name="Table5" displayName="Table5" ref="A1:D1048576" totalsRowShown="0" headerRowDxfId="18">
  <autoFilter ref="A1:D1048576" xr:uid="{F7655B8E-9544-47D9-893D-E6495243E668}"/>
  <sortState xmlns:xlrd2="http://schemas.microsoft.com/office/spreadsheetml/2017/richdata2" ref="A2:D1048576">
    <sortCondition descending="1" ref="A1:A1048576"/>
  </sortState>
  <tableColumns count="4">
    <tableColumn id="1" xr3:uid="{E75AA429-C082-4DF5-B6D8-95EACBD3F4E9}" name="Date"/>
    <tableColumn id="2" xr3:uid="{30B9B312-852C-49C3-8A9C-AC8E10F2EDEA}" name="Category"/>
    <tableColumn id="3" xr3:uid="{AE4180E7-E357-4069-AA8E-59EA739E582A}" name="Amount" dataDxfId="17"/>
    <tableColumn id="4" xr3:uid="{F79AF244-2A6F-4829-A8EB-3C5833CB315C}" name="Description"/>
  </tableColumns>
  <tableStyleInfo name="TableStyleLight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2F66D14-1F98-4989-A5D3-A0569AC09F11}" name="Table9" displayName="Table9" ref="A1:B1048576" totalsRowShown="0" headerRowDxfId="16">
  <autoFilter ref="A1:B1048576" xr:uid="{92F66D14-1F98-4989-A5D3-A0569AC09F11}"/>
  <tableColumns count="2">
    <tableColumn id="1" xr3:uid="{3CA27B47-99FD-4DE6-9A1B-3A484BD04511}" name="Total Expenses "/>
    <tableColumn id="2" xr3:uid="{96273DFF-2CB2-4699-B6C8-3F029B08100A}" name="Total Income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E874AA-E1E9-4A2E-84D2-C84DDBFA6043}" name="Table11" displayName="Table11" ref="E1:I1048576" totalsRowShown="0" headerRowDxfId="15" headerRowCellStyle="Accent5">
  <autoFilter ref="E1:I1048576" xr:uid="{2BE874AA-E1E9-4A2E-84D2-C84DDBFA6043}"/>
  <tableColumns count="5">
    <tableColumn id="1" xr3:uid="{895EB0D8-2648-409C-9640-32BD69A360B4}" name="Date"/>
    <tableColumn id="2" xr3:uid="{37C70EC0-F033-4A2C-9522-2027C520D92A}" name="Item"/>
    <tableColumn id="3" xr3:uid="{19B6000B-0512-4345-9BF5-128EFAA17719}" name="Category"/>
    <tableColumn id="4" xr3:uid="{2EF4F601-2710-4DB9-A91D-E48144777758}" name="Amount" dataDxfId="0"/>
    <tableColumn id="5" xr3:uid="{34E72695-0EF5-42D7-8E6B-10F7DD545AE5}" name="Description"/>
  </tableColumns>
  <tableStyleInfo name="TableStyleLight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AEED4D7-DA13-4479-A12C-27141F564F08}" name="Table12" displayName="Table12" ref="Q1:T1048576" totalsRowShown="0" headerRowDxfId="14" headerRowBorderDxfId="13" tableBorderDxfId="12" headerRowCellStyle="Accent5">
  <autoFilter ref="Q1:T1048576" xr:uid="{CAEED4D7-DA13-4479-A12C-27141F564F08}"/>
  <tableColumns count="4">
    <tableColumn id="1" xr3:uid="{1AAB770F-0A81-493F-9A88-640E19694ECB}" name="Date "/>
    <tableColumn id="2" xr3:uid="{E3162176-A3C0-4E8C-9FB0-4678B012C98F}" name="Source "/>
    <tableColumn id="3" xr3:uid="{4E5BF9DC-119F-4197-B7C4-05F3F636CF71}" name="Amount"/>
    <tableColumn id="4" xr3:uid="{A3C9B95C-3B9A-4B08-A57E-682E87DA0607}" name="Description"/>
  </tableColumns>
  <tableStyleInfo name="TableStyleLight1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0729A5F-E761-44BD-B81D-8592DDF0F3D6}" name="Table13" displayName="Table13" ref="E1:H1048576" totalsRowShown="0" headerRowCellStyle="Accent5">
  <autoFilter ref="E1:H1048576" xr:uid="{F0729A5F-E761-44BD-B81D-8592DDF0F3D6}"/>
  <tableColumns count="4">
    <tableColumn id="1" xr3:uid="{33A596DB-5D4B-4835-A9A0-9A62301C2A98}" name="Start Date"/>
    <tableColumn id="2" xr3:uid="{7E49362C-D7D5-492A-ACCF-96A68B582381}" name="End Date "/>
    <tableColumn id="3" xr3:uid="{B9F09862-5C6F-4B60-9D5D-4C70BF05799B}" name="Goal Name"/>
    <tableColumn id="4" xr3:uid="{54B28762-5788-42BA-A55E-30CF43EC314E}" name="Goal Description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1" Type="http://schemas.openxmlformats.org/officeDocument/2006/relationships/table" Target="../tables/table2.xml"/><Relationship Id="rId5" Type="http://schemas.openxmlformats.org/officeDocument/2006/relationships/image" Target="../media/image2.emf"/><Relationship Id="rId10" Type="http://schemas.openxmlformats.org/officeDocument/2006/relationships/table" Target="../tables/table1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3.xml"/><Relationship Id="rId5" Type="http://schemas.openxmlformats.org/officeDocument/2006/relationships/ctrlProp" Target="../ctrlProps/ctrlProp3.xml"/><Relationship Id="rId4" Type="http://schemas.openxmlformats.org/officeDocument/2006/relationships/image" Target="../media/image5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table" Target="../tables/table5.xml"/><Relationship Id="rId5" Type="http://schemas.openxmlformats.org/officeDocument/2006/relationships/ctrlProp" Target="../ctrlProps/ctrlProp4.xml"/><Relationship Id="rId4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table" Target="../tables/table6.xml"/><Relationship Id="rId5" Type="http://schemas.openxmlformats.org/officeDocument/2006/relationships/ctrlProp" Target="../ctrlProps/ctrlProp5.xml"/><Relationship Id="rId4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7" Type="http://schemas.openxmlformats.org/officeDocument/2006/relationships/table" Target="../tables/table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12.emf"/><Relationship Id="rId5" Type="http://schemas.openxmlformats.org/officeDocument/2006/relationships/control" Target="../activeX/activeX8.xml"/><Relationship Id="rId4" Type="http://schemas.openxmlformats.org/officeDocument/2006/relationships/image" Target="../media/image11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5.emf"/><Relationship Id="rId12" Type="http://schemas.openxmlformats.org/officeDocument/2006/relationships/table" Target="../tables/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table" Target="../tables/table8.xml"/><Relationship Id="rId5" Type="http://schemas.openxmlformats.org/officeDocument/2006/relationships/image" Target="../media/image1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9.xml"/><Relationship Id="rId9" Type="http://schemas.openxmlformats.org/officeDocument/2006/relationships/image" Target="../media/image16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7" Type="http://schemas.openxmlformats.org/officeDocument/2006/relationships/table" Target="../tables/table1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image" Target="../media/image19.emf"/><Relationship Id="rId5" Type="http://schemas.openxmlformats.org/officeDocument/2006/relationships/control" Target="../activeX/activeX13.xml"/><Relationship Id="rId4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control" Target="../activeX/activeX14.xml"/><Relationship Id="rId7" Type="http://schemas.openxmlformats.org/officeDocument/2006/relationships/control" Target="../activeX/activeX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image" Target="../media/image22.emf"/><Relationship Id="rId5" Type="http://schemas.openxmlformats.org/officeDocument/2006/relationships/control" Target="../activeX/activeX15.xml"/><Relationship Id="rId10" Type="http://schemas.openxmlformats.org/officeDocument/2006/relationships/image" Target="../media/image24.emf"/><Relationship Id="rId4" Type="http://schemas.openxmlformats.org/officeDocument/2006/relationships/image" Target="../media/image21.emf"/><Relationship Id="rId9" Type="http://schemas.openxmlformats.org/officeDocument/2006/relationships/control" Target="../activeX/activeX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36051-75EE-4A81-A43F-0B7A9CC3EA84}">
  <sheetPr codeName="Sheet6"/>
  <dimension ref="A1"/>
  <sheetViews>
    <sheetView tabSelected="1" workbookViewId="0">
      <selection activeCell="O13" sqref="O13"/>
    </sheetView>
  </sheetViews>
  <sheetFormatPr defaultRowHeight="14.4" x14ac:dyDescent="0.3"/>
  <cols>
    <col min="1" max="16384" width="8.88671875" style="16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autoPict="0" r:id="rId4">
            <anchor moveWithCells="1">
              <from>
                <xdr:col>3</xdr:col>
                <xdr:colOff>502920</xdr:colOff>
                <xdr:row>4</xdr:row>
                <xdr:rowOff>137160</xdr:rowOff>
              </from>
              <to>
                <xdr:col>12</xdr:col>
                <xdr:colOff>45720</xdr:colOff>
                <xdr:row>23</xdr:row>
                <xdr:rowOff>99060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G33"/>
  <sheetViews>
    <sheetView showGridLines="0" workbookViewId="0">
      <selection activeCell="G16" sqref="G16"/>
    </sheetView>
  </sheetViews>
  <sheetFormatPr defaultRowHeight="14.4" x14ac:dyDescent="0.3"/>
  <cols>
    <col min="1" max="1" width="18.109375" style="19" customWidth="1"/>
    <col min="2" max="2" width="24" style="19" customWidth="1"/>
    <col min="3" max="3" width="8.88671875" style="19"/>
    <col min="4" max="4" width="11.109375" style="19" bestFit="1" customWidth="1"/>
    <col min="5" max="8" width="8.88671875" style="19"/>
    <col min="9" max="9" width="15.5546875" style="19" customWidth="1"/>
    <col min="10" max="10" width="14.77734375" style="19" customWidth="1"/>
    <col min="11" max="11" width="16.109375" style="19" customWidth="1"/>
    <col min="12" max="12" width="28.77734375" style="19" customWidth="1"/>
    <col min="13" max="31" width="8.88671875" style="19"/>
    <col min="32" max="33" width="10.33203125" style="19" bestFit="1" customWidth="1"/>
    <col min="34" max="16384" width="8.88671875" style="19"/>
  </cols>
  <sheetData>
    <row r="1" spans="1:33" x14ac:dyDescent="0.3">
      <c r="A1" s="18" t="s">
        <v>8</v>
      </c>
      <c r="B1" s="18" t="s">
        <v>17</v>
      </c>
      <c r="C1" s="18" t="s">
        <v>9</v>
      </c>
      <c r="I1" s="21" t="s">
        <v>4</v>
      </c>
      <c r="J1" s="21" t="s">
        <v>5</v>
      </c>
      <c r="K1" s="21" t="s">
        <v>15</v>
      </c>
      <c r="L1" s="21" t="s">
        <v>16</v>
      </c>
    </row>
    <row r="2" spans="1:33" x14ac:dyDescent="0.3">
      <c r="A2" s="20" t="s">
        <v>24</v>
      </c>
      <c r="B2" s="19" t="s">
        <v>25</v>
      </c>
      <c r="C2" s="19" t="s">
        <v>26</v>
      </c>
      <c r="I2" s="20">
        <v>44901</v>
      </c>
      <c r="J2" s="20">
        <v>44927</v>
      </c>
      <c r="K2" s="19" t="s">
        <v>27</v>
      </c>
      <c r="L2" s="19" t="s">
        <v>28</v>
      </c>
      <c r="AF2" s="20"/>
      <c r="AG2" s="20"/>
    </row>
    <row r="3" spans="1:33" x14ac:dyDescent="0.3">
      <c r="A3" s="20"/>
      <c r="I3" s="20">
        <v>44901</v>
      </c>
      <c r="J3" s="20">
        <v>44901</v>
      </c>
      <c r="K3" s="19" t="s">
        <v>29</v>
      </c>
      <c r="L3" s="19" t="s">
        <v>30</v>
      </c>
    </row>
    <row r="4" spans="1:33" x14ac:dyDescent="0.3">
      <c r="A4" s="20"/>
      <c r="I4" s="20"/>
      <c r="J4" s="20"/>
    </row>
    <row r="5" spans="1:33" x14ac:dyDescent="0.3">
      <c r="A5" s="20"/>
      <c r="I5" s="20"/>
      <c r="J5" s="20"/>
    </row>
    <row r="6" spans="1:33" x14ac:dyDescent="0.3">
      <c r="A6" s="20"/>
    </row>
    <row r="7" spans="1:33" x14ac:dyDescent="0.3">
      <c r="A7" s="20"/>
    </row>
    <row r="8" spans="1:33" x14ac:dyDescent="0.3">
      <c r="A8" s="20"/>
    </row>
    <row r="9" spans="1:33" x14ac:dyDescent="0.3">
      <c r="A9" s="20"/>
    </row>
    <row r="10" spans="1:33" x14ac:dyDescent="0.3">
      <c r="A10" s="20"/>
    </row>
    <row r="11" spans="1:33" x14ac:dyDescent="0.3">
      <c r="A11" s="20"/>
    </row>
    <row r="12" spans="1:33" x14ac:dyDescent="0.3">
      <c r="A12" s="20"/>
    </row>
    <row r="13" spans="1:33" x14ac:dyDescent="0.3">
      <c r="A13" s="20"/>
    </row>
    <row r="14" spans="1:33" x14ac:dyDescent="0.3">
      <c r="A14" s="20"/>
    </row>
    <row r="15" spans="1:33" x14ac:dyDescent="0.3">
      <c r="A15" s="20"/>
    </row>
    <row r="16" spans="1:33" x14ac:dyDescent="0.3">
      <c r="A16" s="20"/>
    </row>
    <row r="17" spans="1:1" x14ac:dyDescent="0.3">
      <c r="A17" s="20"/>
    </row>
    <row r="18" spans="1:1" x14ac:dyDescent="0.3">
      <c r="A18" s="20"/>
    </row>
    <row r="19" spans="1:1" x14ac:dyDescent="0.3">
      <c r="A19" s="20"/>
    </row>
    <row r="20" spans="1:1" x14ac:dyDescent="0.3">
      <c r="A20" s="20"/>
    </row>
    <row r="21" spans="1:1" x14ac:dyDescent="0.3">
      <c r="A21" s="20"/>
    </row>
    <row r="22" spans="1:1" x14ac:dyDescent="0.3">
      <c r="A22" s="20"/>
    </row>
    <row r="23" spans="1:1" x14ac:dyDescent="0.3">
      <c r="A23" s="20"/>
    </row>
    <row r="24" spans="1:1" x14ac:dyDescent="0.3">
      <c r="A24" s="20"/>
    </row>
    <row r="25" spans="1:1" x14ac:dyDescent="0.3">
      <c r="A25" s="20"/>
    </row>
    <row r="26" spans="1:1" x14ac:dyDescent="0.3">
      <c r="A26" s="20"/>
    </row>
    <row r="27" spans="1:1" x14ac:dyDescent="0.3">
      <c r="A27" s="20"/>
    </row>
    <row r="28" spans="1:1" x14ac:dyDescent="0.3">
      <c r="A28" s="20"/>
    </row>
    <row r="29" spans="1:1" x14ac:dyDescent="0.3">
      <c r="A29" s="20"/>
    </row>
    <row r="30" spans="1:1" x14ac:dyDescent="0.3">
      <c r="A30" s="20"/>
    </row>
    <row r="31" spans="1:1" x14ac:dyDescent="0.3">
      <c r="A31" s="20"/>
    </row>
    <row r="32" spans="1:1" x14ac:dyDescent="0.3">
      <c r="A32" s="20"/>
    </row>
    <row r="33" spans="1:1" x14ac:dyDescent="0.3">
      <c r="A33" s="2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9" r:id="rId4" name="CommandButton4">
          <controlPr defaultSize="0" autoLine="0" r:id="rId5">
            <anchor moveWithCells="1">
              <from>
                <xdr:col>0</xdr:col>
                <xdr:colOff>640080</xdr:colOff>
                <xdr:row>2</xdr:row>
                <xdr:rowOff>167640</xdr:rowOff>
              </from>
              <to>
                <xdr:col>1</xdr:col>
                <xdr:colOff>1440180</xdr:colOff>
                <xdr:row>8</xdr:row>
                <xdr:rowOff>15240</xdr:rowOff>
              </to>
            </anchor>
          </controlPr>
        </control>
      </mc:Choice>
      <mc:Fallback>
        <control shapeId="1039" r:id="rId4" name="CommandButton4"/>
      </mc:Fallback>
    </mc:AlternateContent>
    <mc:AlternateContent xmlns:mc="http://schemas.openxmlformats.org/markup-compatibility/2006">
      <mc:Choice Requires="x14">
        <control shapeId="1042" r:id="rId6" name="CommandButton1">
          <controlPr defaultSize="0" autoLine="0" r:id="rId7">
            <anchor moveWithCells="1">
              <from>
                <xdr:col>5</xdr:col>
                <xdr:colOff>60960</xdr:colOff>
                <xdr:row>1</xdr:row>
                <xdr:rowOff>167640</xdr:rowOff>
              </from>
              <to>
                <xdr:col>7</xdr:col>
                <xdr:colOff>350520</xdr:colOff>
                <xdr:row>5</xdr:row>
                <xdr:rowOff>0</xdr:rowOff>
              </to>
            </anchor>
          </controlPr>
        </control>
      </mc:Choice>
      <mc:Fallback>
        <control shapeId="1042" r:id="rId6" name="CommandButton1"/>
      </mc:Fallback>
    </mc:AlternateContent>
    <mc:AlternateContent xmlns:mc="http://schemas.openxmlformats.org/markup-compatibility/2006">
      <mc:Choice Requires="x14">
        <control shapeId="1040" r:id="rId8" name="Button 16">
          <controlPr defaultSize="0" print="0" autoFill="0" autoPict="0" macro="[0]!ClearProfile">
            <anchor moveWithCells="1" sizeWithCells="1">
              <from>
                <xdr:col>0</xdr:col>
                <xdr:colOff>685800</xdr:colOff>
                <xdr:row>8</xdr:row>
                <xdr:rowOff>129540</xdr:rowOff>
              </from>
              <to>
                <xdr:col>1</xdr:col>
                <xdr:colOff>1371600</xdr:colOff>
                <xdr:row>12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9" name="Button 20">
          <controlPr defaultSize="0" print="0" autoFill="0" autoPict="0" macro="[0]!ClearGoals">
            <anchor moveWithCells="1" sizeWithCells="1">
              <from>
                <xdr:col>5</xdr:col>
                <xdr:colOff>160020</xdr:colOff>
                <xdr:row>5</xdr:row>
                <xdr:rowOff>83820</xdr:rowOff>
              </from>
              <to>
                <xdr:col>7</xdr:col>
                <xdr:colOff>243840</xdr:colOff>
                <xdr:row>7</xdr:row>
                <xdr:rowOff>121920</xdr:rowOff>
              </to>
            </anchor>
          </controlPr>
        </control>
      </mc:Choice>
    </mc:AlternateContent>
  </controls>
  <tableParts count="2">
    <tablePart r:id="rId10"/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83057-012F-498E-83AC-EB669355C5CB}">
  <sheetPr codeName="Sheet7"/>
  <dimension ref="A1:Q7"/>
  <sheetViews>
    <sheetView showGridLines="0" workbookViewId="0">
      <selection activeCell="H21" sqref="H21"/>
    </sheetView>
  </sheetViews>
  <sheetFormatPr defaultRowHeight="14.4" x14ac:dyDescent="0.3"/>
  <cols>
    <col min="1" max="1" width="16.109375" style="29" customWidth="1"/>
    <col min="2" max="2" width="16.44140625" style="29" customWidth="1"/>
    <col min="3" max="3" width="13.33203125" style="29" customWidth="1"/>
    <col min="4" max="4" width="12.5546875" style="30" customWidth="1"/>
    <col min="5" max="5" width="23" style="29" customWidth="1"/>
    <col min="6" max="15" width="8.88671875" style="29"/>
    <col min="16" max="16" width="9.88671875" style="29" customWidth="1"/>
    <col min="17" max="17" width="10.77734375" style="29" customWidth="1"/>
    <col min="18" max="18" width="10.21875" style="29" customWidth="1"/>
    <col min="19" max="19" width="9.33203125" style="29" customWidth="1"/>
    <col min="20" max="16384" width="8.88671875" style="29"/>
  </cols>
  <sheetData>
    <row r="1" spans="1:17" x14ac:dyDescent="0.3">
      <c r="A1" s="25" t="s">
        <v>0</v>
      </c>
      <c r="B1" s="25" t="s">
        <v>1</v>
      </c>
      <c r="C1" s="25" t="s">
        <v>2</v>
      </c>
      <c r="D1" s="26" t="s">
        <v>7</v>
      </c>
      <c r="E1" s="27" t="s">
        <v>3</v>
      </c>
      <c r="P1" s="29" t="s">
        <v>2</v>
      </c>
      <c r="Q1" s="29" t="s">
        <v>7</v>
      </c>
    </row>
    <row r="2" spans="1:17" x14ac:dyDescent="0.3">
      <c r="A2" s="28">
        <v>44901</v>
      </c>
      <c r="B2" s="29" t="s">
        <v>31</v>
      </c>
      <c r="C2" s="29" t="s">
        <v>19</v>
      </c>
      <c r="D2" s="30">
        <v>5000</v>
      </c>
      <c r="E2" s="29" t="s">
        <v>32</v>
      </c>
      <c r="P2" s="29" t="s">
        <v>19</v>
      </c>
      <c r="Q2" s="29">
        <f>SUMIF(Expenses!C2:C998, "Needs", Expenses!D2:D998)</f>
        <v>7000</v>
      </c>
    </row>
    <row r="3" spans="1:17" x14ac:dyDescent="0.3">
      <c r="A3" s="28">
        <v>44901</v>
      </c>
      <c r="B3" s="29" t="s">
        <v>33</v>
      </c>
      <c r="C3" s="29" t="s">
        <v>18</v>
      </c>
      <c r="D3" s="30">
        <v>10000</v>
      </c>
      <c r="E3" s="29" t="s">
        <v>34</v>
      </c>
      <c r="P3" s="29" t="s">
        <v>18</v>
      </c>
      <c r="Q3" s="29">
        <f>SUMIF(Expenses!C2:C998, "Wants", Expenses!D2:D998)</f>
        <v>11000</v>
      </c>
    </row>
    <row r="4" spans="1:17" x14ac:dyDescent="0.3">
      <c r="A4" s="28">
        <v>44901</v>
      </c>
      <c r="B4" s="29" t="s">
        <v>39</v>
      </c>
      <c r="C4" s="29" t="s">
        <v>18</v>
      </c>
      <c r="D4" s="30">
        <v>1000</v>
      </c>
      <c r="E4" s="29" t="s">
        <v>40</v>
      </c>
    </row>
    <row r="5" spans="1:17" x14ac:dyDescent="0.3">
      <c r="A5" s="28">
        <v>44901</v>
      </c>
      <c r="B5" s="29" t="s">
        <v>41</v>
      </c>
      <c r="C5" s="29" t="s">
        <v>19</v>
      </c>
      <c r="D5" s="30">
        <v>2000</v>
      </c>
    </row>
    <row r="6" spans="1:17" x14ac:dyDescent="0.3">
      <c r="A6" s="28"/>
    </row>
    <row r="7" spans="1:17" x14ac:dyDescent="0.3">
      <c r="A7" s="28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4" r:id="rId3" name="CommandButton1">
          <controlPr defaultSize="0" autoLine="0" r:id="rId4">
            <anchor moveWithCells="1">
              <from>
                <xdr:col>5</xdr:col>
                <xdr:colOff>419100</xdr:colOff>
                <xdr:row>1</xdr:row>
                <xdr:rowOff>0</xdr:rowOff>
              </from>
              <to>
                <xdr:col>8</xdr:col>
                <xdr:colOff>68580</xdr:colOff>
                <xdr:row>3</xdr:row>
                <xdr:rowOff>68580</xdr:rowOff>
              </to>
            </anchor>
          </controlPr>
        </control>
      </mc:Choice>
      <mc:Fallback>
        <control shapeId="15364" r:id="rId3" name="CommandButton1"/>
      </mc:Fallback>
    </mc:AlternateContent>
    <mc:AlternateContent xmlns:mc="http://schemas.openxmlformats.org/markup-compatibility/2006">
      <mc:Choice Requires="x14">
        <control shapeId="15362" r:id="rId5" name="Button 2">
          <controlPr defaultSize="0" print="0" autoFill="0" autoPict="0" macro="[0]!ClearExpensesIncomes">
            <anchor moveWithCells="1" sizeWithCells="1">
              <from>
                <xdr:col>5</xdr:col>
                <xdr:colOff>510540</xdr:colOff>
                <xdr:row>3</xdr:row>
                <xdr:rowOff>167640</xdr:rowOff>
              </from>
              <to>
                <xdr:col>7</xdr:col>
                <xdr:colOff>556260</xdr:colOff>
                <xdr:row>5</xdr:row>
                <xdr:rowOff>167640</xdr:rowOff>
              </to>
            </anchor>
          </controlPr>
        </control>
      </mc:Choice>
    </mc:AlternateContent>
  </controls>
  <tableParts count="2"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620B1-4FC2-4E9A-9709-6152A21B5E4B}">
  <sheetPr codeName="Sheet8"/>
  <dimension ref="A1:D4"/>
  <sheetViews>
    <sheetView showGridLines="0" workbookViewId="0">
      <selection activeCell="F23" sqref="F23"/>
    </sheetView>
  </sheetViews>
  <sheetFormatPr defaultRowHeight="14.4" x14ac:dyDescent="0.3"/>
  <cols>
    <col min="1" max="1" width="16.77734375" customWidth="1"/>
    <col min="2" max="2" width="11.44140625" customWidth="1"/>
    <col min="3" max="3" width="10.33203125" style="8" bestFit="1" customWidth="1"/>
    <col min="4" max="4" width="20" customWidth="1"/>
  </cols>
  <sheetData>
    <row r="1" spans="1:4" x14ac:dyDescent="0.3">
      <c r="A1" s="4" t="s">
        <v>0</v>
      </c>
      <c r="B1" s="4" t="s">
        <v>6</v>
      </c>
      <c r="C1" s="9" t="s">
        <v>7</v>
      </c>
      <c r="D1" s="6" t="s">
        <v>3</v>
      </c>
    </row>
    <row r="2" spans="1:4" x14ac:dyDescent="0.3">
      <c r="A2" s="2">
        <v>44901</v>
      </c>
      <c r="B2" t="s">
        <v>35</v>
      </c>
      <c r="C2" s="8">
        <v>20000</v>
      </c>
      <c r="D2" t="s">
        <v>36</v>
      </c>
    </row>
    <row r="3" spans="1:4" x14ac:dyDescent="0.3">
      <c r="A3" s="2"/>
    </row>
    <row r="4" spans="1:4" x14ac:dyDescent="0.3">
      <c r="A4" s="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4</xdr:col>
                <xdr:colOff>487680</xdr:colOff>
                <xdr:row>1</xdr:row>
                <xdr:rowOff>0</xdr:rowOff>
              </from>
              <to>
                <xdr:col>6</xdr:col>
                <xdr:colOff>556260</xdr:colOff>
                <xdr:row>3</xdr:row>
                <xdr:rowOff>15240</xdr:rowOff>
              </to>
            </anchor>
          </controlPr>
        </control>
      </mc:Choice>
      <mc:Fallback>
        <control shapeId="16385" r:id="rId3" name="CommandButton1"/>
      </mc:Fallback>
    </mc:AlternateContent>
    <mc:AlternateContent xmlns:mc="http://schemas.openxmlformats.org/markup-compatibility/2006">
      <mc:Choice Requires="x14">
        <control shapeId="16386" r:id="rId5" name="Button 2">
          <controlPr defaultSize="0" print="0" autoFill="0" autoPict="0" macro="[0]!ClearIncome">
            <anchor moveWithCells="1" sizeWithCells="1">
              <from>
                <xdr:col>4</xdr:col>
                <xdr:colOff>480060</xdr:colOff>
                <xdr:row>3</xdr:row>
                <xdr:rowOff>91440</xdr:rowOff>
              </from>
              <to>
                <xdr:col>6</xdr:col>
                <xdr:colOff>525780</xdr:colOff>
                <xdr:row>5</xdr:row>
                <xdr:rowOff>91440</xdr:rowOff>
              </to>
            </anchor>
          </controlPr>
        </control>
      </mc:Choice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A9AE4-FF12-4F6E-A9F0-E29A41697806}">
  <sheetPr codeName="Sheet9"/>
  <dimension ref="A1:D4"/>
  <sheetViews>
    <sheetView showGridLines="0" workbookViewId="0">
      <selection activeCell="I18" sqref="I18"/>
    </sheetView>
  </sheetViews>
  <sheetFormatPr defaultRowHeight="14.4" x14ac:dyDescent="0.3"/>
  <cols>
    <col min="1" max="1" width="16.44140625" customWidth="1"/>
    <col min="2" max="2" width="14.33203125" customWidth="1"/>
    <col min="3" max="3" width="12.44140625" style="8" customWidth="1"/>
    <col min="4" max="4" width="21.21875" customWidth="1"/>
  </cols>
  <sheetData>
    <row r="1" spans="1:4" x14ac:dyDescent="0.3">
      <c r="A1" s="5" t="s">
        <v>0</v>
      </c>
      <c r="B1" s="5" t="s">
        <v>2</v>
      </c>
      <c r="C1" s="10" t="s">
        <v>7</v>
      </c>
      <c r="D1" s="5" t="s">
        <v>3</v>
      </c>
    </row>
    <row r="2" spans="1:4" x14ac:dyDescent="0.3">
      <c r="A2" s="2">
        <v>44901</v>
      </c>
      <c r="B2" t="s">
        <v>23</v>
      </c>
      <c r="C2" s="8">
        <v>1000</v>
      </c>
      <c r="D2" t="s">
        <v>37</v>
      </c>
    </row>
    <row r="3" spans="1:4" x14ac:dyDescent="0.3">
      <c r="A3" s="2">
        <v>44901</v>
      </c>
      <c r="B3" t="s">
        <v>20</v>
      </c>
      <c r="C3" s="8">
        <v>1000</v>
      </c>
      <c r="D3" t="s">
        <v>38</v>
      </c>
    </row>
    <row r="4" spans="1:4" x14ac:dyDescent="0.3">
      <c r="A4" s="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09" r:id="rId3" name="CommandButton1">
          <controlPr defaultSize="0" autoLine="0" r:id="rId4">
            <anchor moveWithCells="1">
              <from>
                <xdr:col>5</xdr:col>
                <xdr:colOff>15240</xdr:colOff>
                <xdr:row>1</xdr:row>
                <xdr:rowOff>30480</xdr:rowOff>
              </from>
              <to>
                <xdr:col>7</xdr:col>
                <xdr:colOff>45720</xdr:colOff>
                <xdr:row>3</xdr:row>
                <xdr:rowOff>15240</xdr:rowOff>
              </to>
            </anchor>
          </controlPr>
        </control>
      </mc:Choice>
      <mc:Fallback>
        <control shapeId="17409" r:id="rId3" name="CommandButton1"/>
      </mc:Fallback>
    </mc:AlternateContent>
    <mc:AlternateContent xmlns:mc="http://schemas.openxmlformats.org/markup-compatibility/2006">
      <mc:Choice Requires="x14">
        <control shapeId="17410" r:id="rId5" name="Button 2">
          <controlPr defaultSize="0" print="0" autoFill="0" autoPict="0" macro="[0]!ClearDebt">
            <anchor moveWithCells="1" sizeWithCells="1">
              <from>
                <xdr:col>5</xdr:col>
                <xdr:colOff>7620</xdr:colOff>
                <xdr:row>3</xdr:row>
                <xdr:rowOff>106680</xdr:rowOff>
              </from>
              <to>
                <xdr:col>7</xdr:col>
                <xdr:colOff>53340</xdr:colOff>
                <xdr:row>5</xdr:row>
                <xdr:rowOff>106680</xdr:rowOff>
              </to>
            </anchor>
          </controlPr>
        </control>
      </mc:Choice>
    </mc:AlternateContent>
  </control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EBA61-2BDE-4C30-98DE-5DC76A187758}">
  <sheetPr codeName="Sheet4"/>
  <dimension ref="A1:B2"/>
  <sheetViews>
    <sheetView showGridLines="0" workbookViewId="0">
      <selection activeCell="D13" sqref="D13"/>
    </sheetView>
  </sheetViews>
  <sheetFormatPr defaultRowHeight="14.4" x14ac:dyDescent="0.3"/>
  <cols>
    <col min="1" max="1" width="16.44140625" customWidth="1"/>
    <col min="2" max="2" width="16.109375" customWidth="1"/>
  </cols>
  <sheetData>
    <row r="1" spans="1:2" x14ac:dyDescent="0.3">
      <c r="A1" s="12" t="s">
        <v>10</v>
      </c>
      <c r="B1" s="12" t="s">
        <v>11</v>
      </c>
    </row>
    <row r="2" spans="1:2" x14ac:dyDescent="0.3">
      <c r="A2" s="11">
        <v>20000</v>
      </c>
      <c r="B2" s="11">
        <v>20000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CompareFinances">
          <controlPr defaultSize="0" autoLine="0" r:id="rId4">
            <anchor moveWithCells="1">
              <from>
                <xdr:col>2</xdr:col>
                <xdr:colOff>579120</xdr:colOff>
                <xdr:row>0</xdr:row>
                <xdr:rowOff>144780</xdr:rowOff>
              </from>
              <to>
                <xdr:col>6</xdr:col>
                <xdr:colOff>274320</xdr:colOff>
                <xdr:row>5</xdr:row>
                <xdr:rowOff>83820</xdr:rowOff>
              </to>
            </anchor>
          </controlPr>
        </control>
      </mc:Choice>
      <mc:Fallback>
        <control shapeId="4098" r:id="rId3" name="CompareFinances"/>
      </mc:Fallback>
    </mc:AlternateContent>
    <mc:AlternateContent xmlns:mc="http://schemas.openxmlformats.org/markup-compatibility/2006">
      <mc:Choice Requires="x14">
        <control shapeId="4100" r:id="rId5" name="CommandButton1">
          <controlPr defaultSize="0" autoLine="0" r:id="rId6">
            <anchor moveWithCells="1">
              <from>
                <xdr:col>3</xdr:col>
                <xdr:colOff>289560</xdr:colOff>
                <xdr:row>6</xdr:row>
                <xdr:rowOff>68580</xdr:rowOff>
              </from>
              <to>
                <xdr:col>5</xdr:col>
                <xdr:colOff>464820</xdr:colOff>
                <xdr:row>9</xdr:row>
                <xdr:rowOff>83820</xdr:rowOff>
              </to>
            </anchor>
          </controlPr>
        </control>
      </mc:Choice>
      <mc:Fallback>
        <control shapeId="4100" r:id="rId5" name="CommandButton1"/>
      </mc:Fallback>
    </mc:AlternateContent>
  </controls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3AB1A-42B3-448A-880B-08A40A955DE9}">
  <sheetPr codeName="Sheet2"/>
  <dimension ref="A1:T5"/>
  <sheetViews>
    <sheetView showGridLines="0" workbookViewId="0">
      <selection activeCell="N20" sqref="N20"/>
    </sheetView>
  </sheetViews>
  <sheetFormatPr defaultRowHeight="14.4" x14ac:dyDescent="0.3"/>
  <cols>
    <col min="1" max="1" width="18.109375" customWidth="1"/>
    <col min="5" max="5" width="13.109375" customWidth="1"/>
    <col min="6" max="6" width="14.33203125" customWidth="1"/>
    <col min="7" max="7" width="12.33203125" customWidth="1"/>
    <col min="8" max="8" width="12.33203125" style="8" customWidth="1"/>
    <col min="9" max="9" width="17" customWidth="1"/>
    <col min="12" max="12" width="14.109375" customWidth="1"/>
    <col min="17" max="17" width="10.33203125" bestFit="1" customWidth="1"/>
    <col min="19" max="19" width="9.33203125" customWidth="1"/>
    <col min="20" max="20" width="12.109375" customWidth="1"/>
  </cols>
  <sheetData>
    <row r="1" spans="1:20" x14ac:dyDescent="0.3">
      <c r="A1" s="3" t="s">
        <v>4</v>
      </c>
      <c r="E1" s="1" t="s">
        <v>0</v>
      </c>
      <c r="F1" s="1" t="s">
        <v>1</v>
      </c>
      <c r="G1" s="1" t="s">
        <v>2</v>
      </c>
      <c r="H1" s="7" t="s">
        <v>7</v>
      </c>
      <c r="I1" s="13" t="s">
        <v>3</v>
      </c>
      <c r="L1" s="14" t="s">
        <v>4</v>
      </c>
      <c r="Q1" s="15" t="s">
        <v>12</v>
      </c>
      <c r="R1" s="15" t="s">
        <v>14</v>
      </c>
      <c r="S1" s="15" t="s">
        <v>7</v>
      </c>
      <c r="T1" s="15" t="s">
        <v>3</v>
      </c>
    </row>
    <row r="2" spans="1:20" x14ac:dyDescent="0.3">
      <c r="A2" s="2">
        <v>44896</v>
      </c>
      <c r="E2" s="2">
        <v>44901</v>
      </c>
      <c r="F2" t="s">
        <v>31</v>
      </c>
      <c r="G2" t="s">
        <v>19</v>
      </c>
      <c r="H2" s="8">
        <v>5000</v>
      </c>
      <c r="I2" t="s">
        <v>32</v>
      </c>
      <c r="L2" s="2">
        <v>44896</v>
      </c>
      <c r="Q2" s="2">
        <v>44901</v>
      </c>
      <c r="R2" t="s">
        <v>35</v>
      </c>
      <c r="S2">
        <v>20000</v>
      </c>
      <c r="T2" t="s">
        <v>36</v>
      </c>
    </row>
    <row r="3" spans="1:20" x14ac:dyDescent="0.3">
      <c r="A3" s="3" t="s">
        <v>5</v>
      </c>
      <c r="E3" s="2">
        <v>44901</v>
      </c>
      <c r="F3" t="s">
        <v>33</v>
      </c>
      <c r="G3" t="s">
        <v>18</v>
      </c>
      <c r="H3" s="8">
        <v>10000</v>
      </c>
      <c r="I3" t="s">
        <v>34</v>
      </c>
      <c r="L3" s="14" t="s">
        <v>13</v>
      </c>
      <c r="Q3" s="2"/>
    </row>
    <row r="4" spans="1:20" x14ac:dyDescent="0.3">
      <c r="A4" s="2">
        <v>44926</v>
      </c>
      <c r="E4" s="2">
        <v>44901</v>
      </c>
      <c r="F4" t="s">
        <v>39</v>
      </c>
      <c r="G4" t="s">
        <v>18</v>
      </c>
      <c r="H4" s="8">
        <v>1000</v>
      </c>
      <c r="I4" t="s">
        <v>40</v>
      </c>
      <c r="L4" s="2">
        <v>44926</v>
      </c>
      <c r="Q4" s="2"/>
    </row>
    <row r="5" spans="1:20" x14ac:dyDescent="0.3">
      <c r="E5" s="2">
        <v>44901</v>
      </c>
      <c r="F5" t="s">
        <v>41</v>
      </c>
      <c r="G5" t="s">
        <v>19</v>
      </c>
      <c r="H5" s="8">
        <v>2000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5" r:id="rId4" name="CommandButton2">
          <controlPr defaultSize="0" autoLine="0" autoPict="0" r:id="rId5">
            <anchor moveWithCells="1">
              <from>
                <xdr:col>1</xdr:col>
                <xdr:colOff>434340</xdr:colOff>
                <xdr:row>1</xdr:row>
                <xdr:rowOff>30480</xdr:rowOff>
              </from>
              <to>
                <xdr:col>3</xdr:col>
                <xdr:colOff>533400</xdr:colOff>
                <xdr:row>3</xdr:row>
                <xdr:rowOff>45720</xdr:rowOff>
              </to>
            </anchor>
          </controlPr>
        </control>
      </mc:Choice>
      <mc:Fallback>
        <control shapeId="2055" r:id="rId4" name="CommandButton2"/>
      </mc:Fallback>
    </mc:AlternateContent>
    <mc:AlternateContent xmlns:mc="http://schemas.openxmlformats.org/markup-compatibility/2006">
      <mc:Choice Requires="x14">
        <control shapeId="2054" r:id="rId6" name="ClearOutputIncome">
          <controlPr defaultSize="0" autoLine="0" r:id="rId7">
            <anchor moveWithCells="1">
              <from>
                <xdr:col>13</xdr:col>
                <xdr:colOff>182880</xdr:colOff>
                <xdr:row>3</xdr:row>
                <xdr:rowOff>114300</xdr:rowOff>
              </from>
              <to>
                <xdr:col>15</xdr:col>
                <xdr:colOff>457200</xdr:colOff>
                <xdr:row>6</xdr:row>
                <xdr:rowOff>0</xdr:rowOff>
              </to>
            </anchor>
          </controlPr>
        </control>
      </mc:Choice>
      <mc:Fallback>
        <control shapeId="2054" r:id="rId6" name="ClearOutputIncome"/>
      </mc:Fallback>
    </mc:AlternateContent>
    <mc:AlternateContent xmlns:mc="http://schemas.openxmlformats.org/markup-compatibility/2006">
      <mc:Choice Requires="x14">
        <control shapeId="2053" r:id="rId8" name="CommandButton1">
          <controlPr defaultSize="0" autoLine="0" r:id="rId9">
            <anchor moveWithCells="1">
              <from>
                <xdr:col>13</xdr:col>
                <xdr:colOff>198120</xdr:colOff>
                <xdr:row>1</xdr:row>
                <xdr:rowOff>0</xdr:rowOff>
              </from>
              <to>
                <xdr:col>15</xdr:col>
                <xdr:colOff>449580</xdr:colOff>
                <xdr:row>3</xdr:row>
                <xdr:rowOff>45720</xdr:rowOff>
              </to>
            </anchor>
          </controlPr>
        </control>
      </mc:Choice>
      <mc:Fallback>
        <control shapeId="2053" r:id="rId8" name="CommandButton1"/>
      </mc:Fallback>
    </mc:AlternateContent>
    <mc:AlternateContent xmlns:mc="http://schemas.openxmlformats.org/markup-compatibility/2006">
      <mc:Choice Requires="x14">
        <control shapeId="2050" r:id="rId10" name="Button 2">
          <controlPr defaultSize="0" print="0" autoFill="0" autoPict="0" macro="[0]!ClearOutput">
            <anchor moveWithCells="1" sizeWithCells="1">
              <from>
                <xdr:col>1</xdr:col>
                <xdr:colOff>441960</xdr:colOff>
                <xdr:row>3</xdr:row>
                <xdr:rowOff>121920</xdr:rowOff>
              </from>
              <to>
                <xdr:col>3</xdr:col>
                <xdr:colOff>525780</xdr:colOff>
                <xdr:row>5</xdr:row>
                <xdr:rowOff>152400</xdr:rowOff>
              </to>
            </anchor>
          </controlPr>
        </control>
      </mc:Choice>
    </mc:AlternateContent>
  </controls>
  <tableParts count="2">
    <tablePart r:id="rId11"/>
    <tablePart r:id="rId1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77C6B-0D49-4F50-81BE-9FEB50749022}">
  <sheetPr codeName="Sheet5"/>
  <dimension ref="A1:H4"/>
  <sheetViews>
    <sheetView showGridLines="0" workbookViewId="0">
      <selection activeCell="J9" sqref="J9"/>
    </sheetView>
  </sheetViews>
  <sheetFormatPr defaultRowHeight="14.4" x14ac:dyDescent="0.3"/>
  <cols>
    <col min="1" max="1" width="17.88671875" customWidth="1"/>
    <col min="2" max="2" width="10.33203125" bestFit="1" customWidth="1"/>
    <col min="5" max="5" width="14.5546875" customWidth="1"/>
    <col min="6" max="6" width="16.44140625" customWidth="1"/>
    <col min="7" max="7" width="19.21875" customWidth="1"/>
    <col min="8" max="8" width="26.77734375" customWidth="1"/>
  </cols>
  <sheetData>
    <row r="1" spans="1:8" x14ac:dyDescent="0.3">
      <c r="A1" s="3" t="s">
        <v>4</v>
      </c>
      <c r="E1" s="3" t="s">
        <v>4</v>
      </c>
      <c r="F1" s="3" t="s">
        <v>13</v>
      </c>
      <c r="G1" s="3" t="s">
        <v>15</v>
      </c>
      <c r="H1" s="3" t="s">
        <v>16</v>
      </c>
    </row>
    <row r="2" spans="1:8" x14ac:dyDescent="0.3">
      <c r="A2" s="2">
        <v>44896</v>
      </c>
      <c r="E2" s="2">
        <v>44901</v>
      </c>
      <c r="F2" s="2">
        <v>44927</v>
      </c>
      <c r="G2" t="s">
        <v>27</v>
      </c>
      <c r="H2" t="s">
        <v>28</v>
      </c>
    </row>
    <row r="3" spans="1:8" x14ac:dyDescent="0.3">
      <c r="A3" s="3" t="s">
        <v>13</v>
      </c>
      <c r="E3" s="2">
        <v>44901</v>
      </c>
      <c r="F3" s="2">
        <v>44901</v>
      </c>
      <c r="G3" t="s">
        <v>29</v>
      </c>
      <c r="H3" t="s">
        <v>30</v>
      </c>
    </row>
    <row r="4" spans="1:8" x14ac:dyDescent="0.3">
      <c r="A4" s="2">
        <v>44926</v>
      </c>
      <c r="B4" s="2"/>
      <c r="F4" s="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304800</xdr:colOff>
                <xdr:row>0</xdr:row>
                <xdr:rowOff>144780</xdr:rowOff>
              </from>
              <to>
                <xdr:col>3</xdr:col>
                <xdr:colOff>342900</xdr:colOff>
                <xdr:row>3</xdr:row>
                <xdr:rowOff>53340</xdr:rowOff>
              </to>
            </anchor>
          </controlPr>
        </control>
      </mc:Choice>
      <mc:Fallback>
        <control shapeId="7169" r:id="rId3" name="CommandButton1"/>
      </mc:Fallback>
    </mc:AlternateContent>
    <mc:AlternateContent xmlns:mc="http://schemas.openxmlformats.org/markup-compatibility/2006">
      <mc:Choice Requires="x14">
        <control shapeId="7170" r:id="rId5" name="CommandButton2">
          <controlPr defaultSize="0" autoLine="0" autoPict="0" r:id="rId6">
            <anchor moveWithCells="1">
              <from>
                <xdr:col>1</xdr:col>
                <xdr:colOff>289560</xdr:colOff>
                <xdr:row>3</xdr:row>
                <xdr:rowOff>121920</xdr:rowOff>
              </from>
              <to>
                <xdr:col>3</xdr:col>
                <xdr:colOff>228600</xdr:colOff>
                <xdr:row>6</xdr:row>
                <xdr:rowOff>0</xdr:rowOff>
              </to>
            </anchor>
          </controlPr>
        </control>
      </mc:Choice>
      <mc:Fallback>
        <control shapeId="7170" r:id="rId5" name="CommandButton2"/>
      </mc:Fallback>
    </mc:AlternateContent>
  </controls>
  <tableParts count="1"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8ABF3-2254-4FD4-BF40-FBA7A23721CE}">
  <sheetPr codeName="Sheet3"/>
  <dimension ref="A1:N22"/>
  <sheetViews>
    <sheetView showGridLines="0" workbookViewId="0">
      <selection activeCell="D12" sqref="D12"/>
    </sheetView>
  </sheetViews>
  <sheetFormatPr defaultRowHeight="14.4" x14ac:dyDescent="0.3"/>
  <cols>
    <col min="1" max="1" width="19.109375" customWidth="1"/>
    <col min="2" max="2" width="13.6640625" style="8" customWidth="1"/>
    <col min="8" max="8" width="14.21875" customWidth="1"/>
    <col min="9" max="9" width="9.88671875" customWidth="1"/>
    <col min="10" max="10" width="17.21875" customWidth="1"/>
    <col min="11" max="11" width="14.6640625" style="8" customWidth="1"/>
    <col min="12" max="12" width="11.109375" style="8" customWidth="1"/>
    <col min="13" max="13" width="13.77734375" customWidth="1"/>
    <col min="14" max="14" width="10.44140625" customWidth="1"/>
  </cols>
  <sheetData>
    <row r="1" spans="1:14" x14ac:dyDescent="0.3">
      <c r="A1" s="17" t="s">
        <v>2</v>
      </c>
      <c r="B1" s="17" t="s">
        <v>7</v>
      </c>
      <c r="I1" s="8"/>
      <c r="J1" s="8"/>
      <c r="M1" s="22" t="s">
        <v>2</v>
      </c>
      <c r="N1" s="23" t="s">
        <v>7</v>
      </c>
    </row>
    <row r="2" spans="1:14" x14ac:dyDescent="0.3">
      <c r="A2" t="s">
        <v>18</v>
      </c>
      <c r="B2" s="8">
        <f>SUMIF(Expenses!C2:C998, "Wants", Expenses!D2:D998)</f>
        <v>11000</v>
      </c>
      <c r="I2" s="8"/>
      <c r="J2" s="8"/>
      <c r="M2" t="s">
        <v>18</v>
      </c>
      <c r="N2" s="8">
        <v>10000</v>
      </c>
    </row>
    <row r="3" spans="1:14" x14ac:dyDescent="0.3">
      <c r="A3" t="s">
        <v>21</v>
      </c>
      <c r="B3" s="8">
        <f>SUMIF(Expenses!C2:C999, "Needs", Expenses!D2:D999)</f>
        <v>7000</v>
      </c>
      <c r="I3" s="8"/>
      <c r="J3" s="8"/>
      <c r="M3" t="s">
        <v>19</v>
      </c>
      <c r="N3" s="8">
        <v>6000</v>
      </c>
    </row>
    <row r="4" spans="1:14" x14ac:dyDescent="0.3">
      <c r="A4" t="s">
        <v>22</v>
      </c>
      <c r="B4" s="24">
        <f>SUM(Income!C2:C1000)-SUM('Financial Advice'!B2:B3)</f>
        <v>2000</v>
      </c>
      <c r="I4" s="8"/>
      <c r="J4" s="8"/>
      <c r="M4" t="s">
        <v>22</v>
      </c>
      <c r="N4" s="8">
        <v>4000</v>
      </c>
    </row>
    <row r="12" spans="1:14" x14ac:dyDescent="0.3">
      <c r="I12" s="8"/>
    </row>
    <row r="13" spans="1:14" x14ac:dyDescent="0.3">
      <c r="I13" s="8"/>
    </row>
    <row r="14" spans="1:14" x14ac:dyDescent="0.3">
      <c r="I14" s="8"/>
    </row>
    <row r="15" spans="1:14" x14ac:dyDescent="0.3">
      <c r="I15" s="8"/>
    </row>
    <row r="18" spans="5:8" x14ac:dyDescent="0.3">
      <c r="E18" s="8"/>
    </row>
    <row r="19" spans="5:8" x14ac:dyDescent="0.3">
      <c r="E19" s="8"/>
      <c r="H19" s="8"/>
    </row>
    <row r="20" spans="5:8" x14ac:dyDescent="0.3">
      <c r="E20" s="8"/>
      <c r="H20" s="8"/>
    </row>
    <row r="21" spans="5:8" x14ac:dyDescent="0.3">
      <c r="E21" s="8"/>
      <c r="H21" s="8"/>
    </row>
    <row r="22" spans="5:8" x14ac:dyDescent="0.3">
      <c r="H22" s="8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9" r:id="rId3" name="CommandButton4">
          <controlPr defaultSize="0" autoLine="0" r:id="rId4">
            <anchor moveWithCells="1">
              <from>
                <xdr:col>2</xdr:col>
                <xdr:colOff>236220</xdr:colOff>
                <xdr:row>0</xdr:row>
                <xdr:rowOff>129540</xdr:rowOff>
              </from>
              <to>
                <xdr:col>5</xdr:col>
                <xdr:colOff>182880</xdr:colOff>
                <xdr:row>2</xdr:row>
                <xdr:rowOff>160020</xdr:rowOff>
              </to>
            </anchor>
          </controlPr>
        </control>
      </mc:Choice>
      <mc:Fallback>
        <control shapeId="3079" r:id="rId3" name="CommandButton4"/>
      </mc:Fallback>
    </mc:AlternateContent>
    <mc:AlternateContent xmlns:mc="http://schemas.openxmlformats.org/markup-compatibility/2006">
      <mc:Choice Requires="x14">
        <control shapeId="3076" r:id="rId5" name="CommandButton1">
          <controlPr defaultSize="0" autoLine="0" r:id="rId6">
            <anchor moveWithCells="1">
              <from>
                <xdr:col>2</xdr:col>
                <xdr:colOff>259080</xdr:colOff>
                <xdr:row>4</xdr:row>
                <xdr:rowOff>45720</xdr:rowOff>
              </from>
              <to>
                <xdr:col>5</xdr:col>
                <xdr:colOff>129540</xdr:colOff>
                <xdr:row>7</xdr:row>
                <xdr:rowOff>22860</xdr:rowOff>
              </to>
            </anchor>
          </controlPr>
        </control>
      </mc:Choice>
      <mc:Fallback>
        <control shapeId="3076" r:id="rId5" name="CommandButton1"/>
      </mc:Fallback>
    </mc:AlternateContent>
    <mc:AlternateContent xmlns:mc="http://schemas.openxmlformats.org/markup-compatibility/2006">
      <mc:Choice Requires="x14">
        <control shapeId="3077" r:id="rId7" name="CommandButton2">
          <controlPr defaultSize="0" autoLine="0" autoPict="0" r:id="rId8">
            <anchor moveWithCells="1">
              <from>
                <xdr:col>10</xdr:col>
                <xdr:colOff>22860</xdr:colOff>
                <xdr:row>0</xdr:row>
                <xdr:rowOff>99060</xdr:rowOff>
              </from>
              <to>
                <xdr:col>11</xdr:col>
                <xdr:colOff>518160</xdr:colOff>
                <xdr:row>3</xdr:row>
                <xdr:rowOff>53340</xdr:rowOff>
              </to>
            </anchor>
          </controlPr>
        </control>
      </mc:Choice>
      <mc:Fallback>
        <control shapeId="3077" r:id="rId7" name="CommandButton2"/>
      </mc:Fallback>
    </mc:AlternateContent>
    <mc:AlternateContent xmlns:mc="http://schemas.openxmlformats.org/markup-compatibility/2006">
      <mc:Choice Requires="x14">
        <control shapeId="3078" r:id="rId9" name="CommandButton3">
          <controlPr defaultSize="0" autoLine="0" r:id="rId10">
            <anchor moveWithCells="1">
              <from>
                <xdr:col>10</xdr:col>
                <xdr:colOff>274320</xdr:colOff>
                <xdr:row>3</xdr:row>
                <xdr:rowOff>152400</xdr:rowOff>
              </from>
              <to>
                <xdr:col>11</xdr:col>
                <xdr:colOff>320040</xdr:colOff>
                <xdr:row>5</xdr:row>
                <xdr:rowOff>175260</xdr:rowOff>
              </to>
            </anchor>
          </controlPr>
        </control>
      </mc:Choice>
      <mc:Fallback>
        <control shapeId="3078" r:id="rId9" name="CommandButton3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05EFFFDA9C644486FCCB58A8EA5354" ma:contentTypeVersion="8" ma:contentTypeDescription="Create a new document." ma:contentTypeScope="" ma:versionID="f87f14b1ad7bdd05d7d1a921921b4f06">
  <xsd:schema xmlns:xsd="http://www.w3.org/2001/XMLSchema" xmlns:xs="http://www.w3.org/2001/XMLSchema" xmlns:p="http://schemas.microsoft.com/office/2006/metadata/properties" xmlns:ns2="9ad7a586-468b-408f-bee0-f7f70b225374" targetNamespace="http://schemas.microsoft.com/office/2006/metadata/properties" ma:root="true" ma:fieldsID="5614f9cf915cae2de6f82e8189391a14" ns2:_="">
    <xsd:import namespace="9ad7a586-468b-408f-bee0-f7f70b2253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d7a586-468b-408f-bee0-f7f70b2253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1EFF735-D625-4A91-91D3-D8AC1CA2884C}">
  <ds:schemaRefs>
    <ds:schemaRef ds:uri="http://purl.org/dc/dcmitype/"/>
    <ds:schemaRef ds:uri="http://schemas.microsoft.com/office/2006/documentManagement/types"/>
    <ds:schemaRef ds:uri="http://purl.org/dc/elements/1.1/"/>
    <ds:schemaRef ds:uri="http://schemas.microsoft.com/office/2006/metadata/properties"/>
    <ds:schemaRef ds:uri="9ad7a586-468b-408f-bee0-f7f70b225374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CF4B2EFA-4881-4417-A6C1-DDA014447C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d7a586-468b-408f-bee0-f7f70b2253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F5BF1E7-AB1F-4F81-A675-581015BCADB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Welcome</vt:lpstr>
      <vt:lpstr>Dashboard</vt:lpstr>
      <vt:lpstr>Expenses</vt:lpstr>
      <vt:lpstr>Income</vt:lpstr>
      <vt:lpstr>Debt</vt:lpstr>
      <vt:lpstr>Net Finances</vt:lpstr>
      <vt:lpstr>Output Expenses&amp;Income</vt:lpstr>
      <vt:lpstr>Output Financial Goals</vt:lpstr>
      <vt:lpstr>Financial Advice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Gillian Tsoi</dc:creator>
  <cp:keywords/>
  <dc:description/>
  <cp:lastModifiedBy>hasan</cp:lastModifiedBy>
  <cp:revision/>
  <dcterms:created xsi:type="dcterms:W3CDTF">2021-10-13T18:04:27Z</dcterms:created>
  <dcterms:modified xsi:type="dcterms:W3CDTF">2022-12-07T04:40:21Z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0x010100A405EFFFDA9C644486FCCB58A8EA5354</vt:lpwstr>
  </property>
</Properties>
</file>